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辉石水\AGU-Supporting Information\"/>
    </mc:Choice>
  </mc:AlternateContent>
  <xr:revisionPtr revIDLastSave="0" documentId="13_ncr:1_{A490EAE5-5537-4E4A-ACB8-3A3CA1A03F2F}" xr6:coauthVersionLast="47" xr6:coauthVersionMax="47" xr10:uidLastSave="{00000000-0000-0000-0000-000000000000}"/>
  <bookViews>
    <workbookView xWindow="-28920" yWindow="4515" windowWidth="29040" windowHeight="15720" xr2:uid="{00000000-000D-0000-FFFF-FFFF00000000}"/>
  </bookViews>
  <sheets>
    <sheet name="Application set" sheetId="3" r:id="rId1"/>
  </sheets>
  <definedNames>
    <definedName name="_xlnm._FilterDatabase" localSheetId="0" hidden="1">'Application set'!$A$2:$AK$102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84" i="3" l="1"/>
  <c r="AD83" i="3"/>
  <c r="AD82" i="3"/>
  <c r="AD81" i="3"/>
  <c r="AD80" i="3"/>
  <c r="AD102" i="3"/>
  <c r="AD101" i="3"/>
  <c r="AD100" i="3"/>
  <c r="AD99" i="3"/>
  <c r="AD98" i="3"/>
  <c r="AD97" i="3"/>
  <c r="AD96" i="3"/>
</calcChain>
</file>

<file path=xl/sharedStrings.xml><?xml version="1.0" encoding="utf-8"?>
<sst xmlns="http://schemas.openxmlformats.org/spreadsheetml/2006/main" count="613" uniqueCount="132">
  <si>
    <t>Area</t>
  </si>
  <si>
    <t>Location</t>
  </si>
  <si>
    <t>Rock type</t>
  </si>
  <si>
    <t>Sample type</t>
  </si>
  <si>
    <t>Point Label</t>
  </si>
  <si>
    <t>FeO  (wt.%)</t>
  </si>
  <si>
    <t>MnO  (wt.%)</t>
  </si>
  <si>
    <t>MgO  (wt.%)</t>
  </si>
  <si>
    <t>CaO  (wt.%)</t>
  </si>
  <si>
    <t>NiO (wt.%)</t>
  </si>
  <si>
    <t>Si</t>
  </si>
  <si>
    <t>Ti</t>
  </si>
  <si>
    <t>Al</t>
  </si>
  <si>
    <t>Cr</t>
  </si>
  <si>
    <t>Fe</t>
  </si>
  <si>
    <t>Ca</t>
  </si>
  <si>
    <t>Mg</t>
  </si>
  <si>
    <t>Mn</t>
  </si>
  <si>
    <t>Ni</t>
  </si>
  <si>
    <t>K</t>
  </si>
  <si>
    <t>Na</t>
  </si>
  <si>
    <t>Mg#</t>
  </si>
  <si>
    <t>H diffusion**</t>
  </si>
  <si>
    <t>Data Source</t>
  </si>
  <si>
    <t>Basalt</t>
  </si>
  <si>
    <t>Cpx</t>
  </si>
  <si>
    <t>2-05a</t>
  </si>
  <si>
    <t>Chaihe-aershan</t>
  </si>
  <si>
    <t>Chaoerhe</t>
  </si>
  <si>
    <t>Chen et al., 2017 EPSL</t>
  </si>
  <si>
    <t>Zhejiang</t>
  </si>
  <si>
    <t>Liu et al., 2016 CMP</t>
  </si>
  <si>
    <t>Shuangcai (Xinchang)</t>
  </si>
  <si>
    <t>Emeishan</t>
  </si>
  <si>
    <t>Dali</t>
  </si>
  <si>
    <t>Picrite</t>
  </si>
  <si>
    <t xml:space="preserve">Dalinuoer, Inner Mongolia </t>
  </si>
  <si>
    <t>Gezi volcano</t>
  </si>
  <si>
    <t>Wang et al., 2020a JVGR</t>
  </si>
  <si>
    <t>cpx</t>
  </si>
  <si>
    <t>DL3-5-1-cpx2-1</t>
  </si>
  <si>
    <t>DL3-5-1-cpx2-2</t>
  </si>
  <si>
    <t>DL3-5-4-cpx4-1</t>
  </si>
  <si>
    <t>DL3-5-4-cpx4-2</t>
  </si>
  <si>
    <t>DL3-5-4-cpx5-1</t>
  </si>
  <si>
    <t>DL3-5-5-cpx1-r</t>
  </si>
  <si>
    <t>CPX4</t>
  </si>
  <si>
    <t>CPX29</t>
  </si>
  <si>
    <t>CPX1</t>
  </si>
  <si>
    <t>CPX7</t>
  </si>
  <si>
    <t>Gala´pagos Archipelago</t>
  </si>
  <si>
    <t>Floreana Island</t>
  </si>
  <si>
    <t>17MMSG16</t>
  </si>
  <si>
    <t>Gleeson et al. 2022 GGG</t>
  </si>
  <si>
    <t>P</t>
  </si>
  <si>
    <r>
      <rPr>
        <sz val="10"/>
        <color theme="1"/>
        <rFont val="Times New Roman"/>
        <family val="1"/>
      </rPr>
      <t>References</t>
    </r>
    <r>
      <rPr>
        <sz val="10"/>
        <color theme="1"/>
        <rFont val="宋体"/>
        <family val="3"/>
        <charset val="134"/>
      </rPr>
      <t>：</t>
    </r>
  </si>
  <si>
    <r>
      <t>SiO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 xml:space="preserve"> (wt.%)</t>
    </r>
  </si>
  <si>
    <r>
      <t>TiO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 xml:space="preserve"> (wt.%)</t>
    </r>
  </si>
  <si>
    <r>
      <t>Al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O</t>
    </r>
    <r>
      <rPr>
        <vertAlign val="subscript"/>
        <sz val="10"/>
        <rFont val="Times New Roman"/>
        <family val="1"/>
      </rPr>
      <t>3</t>
    </r>
    <r>
      <rPr>
        <sz val="10"/>
        <rFont val="Times New Roman"/>
        <family val="1"/>
      </rPr>
      <t xml:space="preserve"> (wt.%)</t>
    </r>
  </si>
  <si>
    <r>
      <t>Cr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O</t>
    </r>
    <r>
      <rPr>
        <vertAlign val="subscript"/>
        <sz val="10"/>
        <rFont val="Times New Roman"/>
        <family val="1"/>
      </rPr>
      <t>3</t>
    </r>
    <r>
      <rPr>
        <sz val="10"/>
        <rFont val="Times New Roman"/>
        <family val="1"/>
      </rPr>
      <t xml:space="preserve"> (wt.%)</t>
    </r>
  </si>
  <si>
    <r>
      <t>Na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O  (wt.%)</t>
    </r>
  </si>
  <si>
    <r>
      <t>K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O  (wt.%)</t>
    </r>
  </si>
  <si>
    <r>
      <t>P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O</t>
    </r>
    <r>
      <rPr>
        <vertAlign val="subscript"/>
        <sz val="10"/>
        <rFont val="Times New Roman"/>
        <family val="1"/>
      </rPr>
      <t xml:space="preserve">5 </t>
    </r>
    <r>
      <rPr>
        <sz val="10"/>
        <rFont val="Times New Roman"/>
        <family val="1"/>
      </rPr>
      <t xml:space="preserve"> (wt.%)</t>
    </r>
  </si>
  <si>
    <r>
      <t>H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O (ppm)*</t>
    </r>
  </si>
  <si>
    <t>2-35c</t>
  </si>
  <si>
    <t>2-35d</t>
  </si>
  <si>
    <t>2c-01a</t>
  </si>
  <si>
    <t>12-1-14a</t>
  </si>
  <si>
    <t>12-1-14b</t>
  </si>
  <si>
    <t>12-1-14c</t>
  </si>
  <si>
    <t>12-2-08a</t>
  </si>
  <si>
    <t>12-2-08b</t>
  </si>
  <si>
    <t>12-2-09a</t>
  </si>
  <si>
    <t>12b-2-12a</t>
  </si>
  <si>
    <t>12b-1-05a</t>
  </si>
  <si>
    <t>12b-1-09a</t>
  </si>
  <si>
    <t>12b-1-05b</t>
  </si>
  <si>
    <t>12b-2-08a</t>
  </si>
  <si>
    <t>12b-2-12b</t>
  </si>
  <si>
    <t>12b-2-16a</t>
  </si>
  <si>
    <t>2-22b</t>
  </si>
  <si>
    <t>2-23c</t>
  </si>
  <si>
    <t>2-23d</t>
  </si>
  <si>
    <t>2b-09a</t>
  </si>
  <si>
    <t>2c-02a</t>
  </si>
  <si>
    <t>2c-05a</t>
  </si>
  <si>
    <t>12b-2-10a</t>
  </si>
  <si>
    <t>17MMSG02c</t>
  </si>
  <si>
    <t>17MMSG04c</t>
  </si>
  <si>
    <t>Azores Islands, Portugal</t>
  </si>
  <si>
    <t>Pico Volcano</t>
  </si>
  <si>
    <t>Pic32cpx</t>
  </si>
  <si>
    <t>Pic43cpx</t>
  </si>
  <si>
    <t xml:space="preserve">Pic59cpx </t>
  </si>
  <si>
    <t>PiC61cpx</t>
  </si>
  <si>
    <t>Pic64cpx</t>
  </si>
  <si>
    <t>1718cpx</t>
  </si>
  <si>
    <t>Pic22cpx</t>
  </si>
  <si>
    <t>Nazzareni et al., 2020 CMP</t>
  </si>
  <si>
    <t>Weis et al., 2015 GGG</t>
  </si>
  <si>
    <t>Canary Island</t>
  </si>
  <si>
    <t>La Palma</t>
  </si>
  <si>
    <t>Tenerife</t>
  </si>
  <si>
    <t>El Hierro</t>
  </si>
  <si>
    <t>NER57(2)</t>
  </si>
  <si>
    <t>NER57(1)</t>
  </si>
  <si>
    <t>EH-Ank(3)</t>
  </si>
  <si>
    <t>EH-Ank(2)</t>
  </si>
  <si>
    <t>EH-Ank(1)</t>
  </si>
  <si>
    <t>LP1949-1(3)</t>
  </si>
  <si>
    <t>LP1949-1(2)</t>
  </si>
  <si>
    <t>LP1949-1(1)</t>
  </si>
  <si>
    <t>LP1971-209(3)</t>
  </si>
  <si>
    <t>LP1971-209(2)</t>
  </si>
  <si>
    <t>LP1971-209</t>
  </si>
  <si>
    <t>LP1971-2(1)</t>
  </si>
  <si>
    <t>LP1971-1(3)</t>
  </si>
  <si>
    <t>LP1971-1(2)</t>
  </si>
  <si>
    <t>LP1971-F(3)</t>
  </si>
  <si>
    <t>LP1971-F(1)</t>
  </si>
  <si>
    <t>Chen, H., Xia, Q.-K., Ingrin, J., Deloule, E., &amp; Bi, Y. (2017). Heterogeneous source components of intraplate basalts from NE China induced by the ongoing Pacific slab subduction. Earth and Planetary Science Letters, 459, 208-220. https://doi.org/10.1016/j.epsl.2016.11.030</t>
  </si>
  <si>
    <t>Gleeson, M. L. M., Gibson, S. A., &amp; Stock, M. J. (2022). Constraints on the behaviour and content of volatiles in Galápagos magmas from melt inclusions and nominally anhydrous minerals. Geochimica et Cosmochimica Acta, 319, 168-190. https://doi.org/10.1016/j.gca.2021.11.005</t>
  </si>
  <si>
    <t>Liu, J., Xia, Q. K., Kuritani, T., Hanski, E., &amp; Yu, H. R. (2017). Mantle hydration and the role of water in the generation of large igneous provinces. Nat Commun, 8(1), 1824. https://doi.org/10.1038/s41467-017-01940-3</t>
  </si>
  <si>
    <t>Liu, S.-C., Xia, Q.-K., Choi, S. H., Deloule, E., Li, P., &amp; Liu, J. (2016). Continuous supply of recycled Pacific oceanic materials in the source of Cenozoic basalts in SE China: the Zhejiang case. Contributions to Mineralogy and Petrology, 171(12). https://doi.org/10.1007/s00410-016-1310-4</t>
  </si>
  <si>
    <t>Wang, Q., Li, W.-C., Hui, H., Zhang, L., &amp; Ni, H. (2020). Variable extent of dehydration of clinopyroxene megacrysts from Gezi volcano of Inner Mongolia. Journal of volcanology and Geothermal Research, 401. https://doi.org/10.1016/j.jvolgeores.2020.106934</t>
  </si>
  <si>
    <t>Liu et al., 2017 NC</t>
    <phoneticPr fontId="9" type="noConversion"/>
  </si>
  <si>
    <t>Nazzareni, S., Barbarossa, V., Skogby, H., Zanon, V., &amp; Petrelli, M. (2020). Magma water content of Pico Volcano (Azores Islands, Portugal): a clinopyroxene perspective. Contributions to Mineralogy and Petrology, 175(9), 87. https://doi.org/10.1007/s00410-020-01723-9</t>
    <phoneticPr fontId="8" type="noConversion"/>
  </si>
  <si>
    <t>Weis, F. A., Skogby, H., Troll, V. R., Deegan, F. M., &amp; Dahren, B. (2015). Magmatic water contents determined through clinopyroxene: Examples from the W estern C anary I slands, S pain. Geochemistry, Geophysics, Geosystems, 16(7), 2127-2146. https://doi.org/10.1002/2015gc005800</t>
    <phoneticPr fontId="9" type="noConversion"/>
  </si>
  <si>
    <r>
      <rPr>
        <vertAlign val="superscript"/>
        <sz val="11"/>
        <color theme="1"/>
        <rFont val="Times New Roman"/>
        <family val="1"/>
      </rPr>
      <t>IV</t>
    </r>
    <r>
      <rPr>
        <sz val="11"/>
        <color theme="1"/>
        <rFont val="Times New Roman"/>
        <family val="1"/>
      </rPr>
      <t xml:space="preserve"> Al</t>
    </r>
    <phoneticPr fontId="14" type="noConversion"/>
  </si>
  <si>
    <r>
      <t>D</t>
    </r>
    <r>
      <rPr>
        <vertAlign val="superscript"/>
        <sz val="11"/>
        <rFont val="Times New Roman"/>
        <family val="1"/>
      </rPr>
      <t>(cpx-melt)</t>
    </r>
    <r>
      <rPr>
        <vertAlign val="subscript"/>
        <sz val="11"/>
        <rFont val="Times New Roman"/>
        <family val="1"/>
      </rPr>
      <t>H2O</t>
    </r>
    <phoneticPr fontId="17" type="noConversion"/>
  </si>
  <si>
    <r>
      <t>Predict 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 (ppm)</t>
    </r>
    <phoneticPr fontId="14" type="noConversion"/>
  </si>
  <si>
    <r>
      <t>Melt 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 (wt%)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</si>
</sst>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_);[Red]\(0.00\)"/>
    <numFmt numFmtId="177" formatCode="0_);[Red]\(0\)"/>
    <numFmt numFmtId="178" formatCode="0.00_ "/>
    <numFmt numFmtId="179" formatCode="0.000_);[Red]\(0.000\)"/>
    <numFmt numFmtId="180" formatCode="0.000_ "/>
    <numFmt numFmtId="181" formatCode="0.0_);[Red]\(0.0\)"/>
    <numFmt numFmtId="182" formatCode="0.000"/>
  </numFmts>
  <fonts count="19">
    <font>
      <sz val="11"/>
      <color theme="1"/>
      <name val="宋体"/>
      <charset val="134"/>
      <scheme val="minor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name val="Microsoft YaHei"/>
      <charset val="134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2"/>
      <name val="Times New Roman"/>
      <family val="1"/>
    </font>
    <font>
      <sz val="10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vertAlign val="subscript"/>
      <sz val="10"/>
      <name val="Times New Roman"/>
      <family val="1"/>
    </font>
    <font>
      <sz val="11"/>
      <name val="Times New Roman"/>
      <family val="1"/>
    </font>
    <font>
      <vertAlign val="superscript"/>
      <sz val="11"/>
      <color theme="1"/>
      <name val="Times New Roman"/>
      <family val="1"/>
    </font>
    <font>
      <sz val="9"/>
      <name val="宋体"/>
      <family val="2"/>
      <charset val="134"/>
      <scheme val="minor"/>
    </font>
    <font>
      <vertAlign val="superscript"/>
      <sz val="11"/>
      <name val="Times New Roman"/>
      <family val="1"/>
    </font>
    <font>
      <vertAlign val="subscript"/>
      <sz val="11"/>
      <name val="Times New Roman"/>
      <family val="1"/>
    </font>
    <font>
      <sz val="9"/>
      <name val="宋体"/>
      <family val="3"/>
      <charset val="134"/>
    </font>
    <font>
      <vertAlign val="subscript"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1AADF"/>
        <bgColor rgb="FF000000"/>
      </patternFill>
    </fill>
    <fill>
      <patternFill patternType="solid">
        <fgColor rgb="FF00B0F0"/>
        <bgColor rgb="FF000000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>
      <alignment vertical="center"/>
    </xf>
    <xf numFmtId="0" fontId="5" fillId="0" borderId="0"/>
    <xf numFmtId="0" fontId="4" fillId="0" borderId="0"/>
    <xf numFmtId="0" fontId="6" fillId="0" borderId="0"/>
  </cellStyleXfs>
  <cellXfs count="33">
    <xf numFmtId="0" fontId="0" fillId="0" borderId="0" xfId="0">
      <alignment vertical="center"/>
    </xf>
    <xf numFmtId="178" fontId="2" fillId="0" borderId="0" xfId="0" applyNumberFormat="1" applyFont="1" applyAlignment="1">
      <alignment horizontal="right" vertical="center"/>
    </xf>
    <xf numFmtId="177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176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180" fontId="1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176" fontId="2" fillId="0" borderId="2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180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9" fontId="2" fillId="0" borderId="2" xfId="0" applyNumberFormat="1" applyFont="1" applyBorder="1" applyAlignment="1">
      <alignment horizontal="right"/>
    </xf>
    <xf numFmtId="0" fontId="2" fillId="4" borderId="0" xfId="0" applyFont="1" applyFill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181" fontId="12" fillId="0" borderId="0" xfId="0" applyNumberFormat="1" applyFont="1" applyAlignment="1"/>
    <xf numFmtId="180" fontId="12" fillId="0" borderId="0" xfId="0" applyNumberFormat="1" applyFont="1" applyAlignment="1"/>
    <xf numFmtId="182" fontId="10" fillId="0" borderId="0" xfId="0" applyNumberFormat="1" applyFont="1" applyAlignment="1">
      <alignment horizontal="center" vertical="center"/>
    </xf>
    <xf numFmtId="178" fontId="10" fillId="0" borderId="0" xfId="0" applyNumberFormat="1" applyFont="1" applyAlignment="1">
      <alignment horizontal="right"/>
    </xf>
    <xf numFmtId="176" fontId="12" fillId="0" borderId="0" xfId="0" applyNumberFormat="1" applyFont="1" applyAlignment="1">
      <alignment horizontal="right" vertical="center"/>
    </xf>
    <xf numFmtId="181" fontId="1" fillId="0" borderId="0" xfId="0" applyNumberFormat="1" applyFont="1" applyAlignment="1">
      <alignment horizontal="right" vertical="center"/>
    </xf>
    <xf numFmtId="0" fontId="12" fillId="6" borderId="0" xfId="0" applyFont="1" applyFill="1" applyAlignment="1">
      <alignment horizontal="center" vertical="center"/>
    </xf>
  </cellXfs>
  <cellStyles count="4">
    <cellStyle name="Normal 2" xfId="2" xr:uid="{00000000-0005-0000-0000-000032000000}"/>
    <cellStyle name="Normal_Seguam SIMS" xfId="3" xr:uid="{00000000-0005-0000-0000-000033000000}"/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08F4F-AA1E-4E4A-A6F9-60B30D8CF19A}">
  <dimension ref="A2:AK114"/>
  <sheetViews>
    <sheetView tabSelected="1" zoomScaleNormal="100" workbookViewId="0">
      <pane xSplit="5" ySplit="2" topLeftCell="Y51" activePane="bottomRight" state="frozen"/>
      <selection pane="topRight" activeCell="F1" sqref="F1"/>
      <selection pane="bottomLeft" activeCell="A2" sqref="A2"/>
      <selection pane="bottomRight" activeCell="AG71" sqref="AG71"/>
    </sheetView>
  </sheetViews>
  <sheetFormatPr defaultRowHeight="14"/>
  <cols>
    <col min="1" max="1" width="21" customWidth="1"/>
    <col min="2" max="2" width="17.36328125" customWidth="1"/>
    <col min="3" max="3" width="9" customWidth="1"/>
    <col min="4" max="4" width="10.453125" bestFit="1" customWidth="1"/>
    <col min="5" max="5" width="14" customWidth="1"/>
    <col min="6" max="6" width="10.1796875" bestFit="1" customWidth="1"/>
    <col min="7" max="7" width="10.36328125" bestFit="1" customWidth="1"/>
    <col min="8" max="9" width="11.1796875" bestFit="1" customWidth="1"/>
    <col min="10" max="10" width="10.453125" bestFit="1" customWidth="1"/>
    <col min="11" max="12" width="11.08984375" bestFit="1" customWidth="1"/>
    <col min="13" max="13" width="10.81640625" bestFit="1" customWidth="1"/>
    <col min="14" max="14" width="11.36328125" bestFit="1" customWidth="1"/>
    <col min="15" max="15" width="10.453125" bestFit="1" customWidth="1"/>
    <col min="16" max="16" width="10.6328125" bestFit="1" customWidth="1"/>
    <col min="17" max="17" width="10" bestFit="1" customWidth="1"/>
    <col min="18" max="29" width="12.36328125" customWidth="1"/>
    <col min="30" max="36" width="14.81640625" customWidth="1"/>
    <col min="37" max="37" width="25.6328125" customWidth="1"/>
  </cols>
  <sheetData>
    <row r="2" spans="1:37" s="6" customFormat="1" ht="29" customHeight="1">
      <c r="A2" s="18" t="s">
        <v>0</v>
      </c>
      <c r="B2" s="18" t="s">
        <v>1</v>
      </c>
      <c r="C2" s="18" t="s">
        <v>2</v>
      </c>
      <c r="D2" s="18" t="s">
        <v>3</v>
      </c>
      <c r="E2" s="18" t="s">
        <v>4</v>
      </c>
      <c r="F2" s="19" t="s">
        <v>56</v>
      </c>
      <c r="G2" s="19" t="s">
        <v>57</v>
      </c>
      <c r="H2" s="19" t="s">
        <v>58</v>
      </c>
      <c r="I2" s="19" t="s">
        <v>59</v>
      </c>
      <c r="J2" s="19" t="s">
        <v>5</v>
      </c>
      <c r="K2" s="19" t="s">
        <v>6</v>
      </c>
      <c r="L2" s="19" t="s">
        <v>7</v>
      </c>
      <c r="M2" s="19" t="s">
        <v>8</v>
      </c>
      <c r="N2" s="19" t="s">
        <v>60</v>
      </c>
      <c r="O2" s="19" t="s">
        <v>61</v>
      </c>
      <c r="P2" s="19" t="s">
        <v>62</v>
      </c>
      <c r="Q2" s="20" t="s">
        <v>9</v>
      </c>
      <c r="R2" s="19" t="s">
        <v>10</v>
      </c>
      <c r="S2" s="19" t="s">
        <v>11</v>
      </c>
      <c r="T2" s="19" t="s">
        <v>12</v>
      </c>
      <c r="U2" s="19" t="s">
        <v>13</v>
      </c>
      <c r="V2" s="19" t="s">
        <v>14</v>
      </c>
      <c r="W2" s="19" t="s">
        <v>15</v>
      </c>
      <c r="X2" s="19" t="s">
        <v>16</v>
      </c>
      <c r="Y2" s="19" t="s">
        <v>17</v>
      </c>
      <c r="Z2" s="19" t="s">
        <v>18</v>
      </c>
      <c r="AA2" s="19" t="s">
        <v>19</v>
      </c>
      <c r="AB2" s="19" t="s">
        <v>20</v>
      </c>
      <c r="AC2" s="19" t="s">
        <v>54</v>
      </c>
      <c r="AD2" s="21" t="s">
        <v>21</v>
      </c>
      <c r="AE2" s="24" t="s">
        <v>128</v>
      </c>
      <c r="AF2" s="25" t="s">
        <v>129</v>
      </c>
      <c r="AG2" s="19" t="s">
        <v>63</v>
      </c>
      <c r="AH2" s="32" t="s">
        <v>130</v>
      </c>
      <c r="AI2" s="32" t="s">
        <v>131</v>
      </c>
      <c r="AJ2" s="19" t="s">
        <v>22</v>
      </c>
      <c r="AK2" s="21" t="s">
        <v>23</v>
      </c>
    </row>
    <row r="3" spans="1:37" s="5" customFormat="1">
      <c r="A3" s="14" t="s">
        <v>33</v>
      </c>
      <c r="B3" s="15" t="s">
        <v>34</v>
      </c>
      <c r="C3" s="15" t="s">
        <v>35</v>
      </c>
      <c r="D3" s="14" t="s">
        <v>25</v>
      </c>
      <c r="E3" s="14" t="s">
        <v>40</v>
      </c>
      <c r="F3" s="1">
        <v>52.430999999999997</v>
      </c>
      <c r="G3" s="1">
        <v>0.222</v>
      </c>
      <c r="H3" s="1">
        <v>2.399</v>
      </c>
      <c r="I3" s="1">
        <v>0.25800000000000001</v>
      </c>
      <c r="J3" s="1">
        <v>3.4750000000000001</v>
      </c>
      <c r="K3" s="1">
        <v>9.5000000000000001E-2</v>
      </c>
      <c r="L3" s="1">
        <v>17.381</v>
      </c>
      <c r="M3" s="1">
        <v>23.081</v>
      </c>
      <c r="N3" s="1"/>
      <c r="O3" s="1"/>
      <c r="P3" s="3"/>
      <c r="Q3" s="10">
        <v>8.3000000000000004E-2</v>
      </c>
      <c r="R3" s="16">
        <v>1.92484079851393</v>
      </c>
      <c r="S3" s="16">
        <v>6.1283391752772701E-3</v>
      </c>
      <c r="T3" s="16">
        <v>0.103792749139485</v>
      </c>
      <c r="U3" s="16">
        <v>7.4876013173898002E-3</v>
      </c>
      <c r="V3" s="16">
        <v>0.10667548714875701</v>
      </c>
      <c r="W3" s="16">
        <v>0.90778544331099698</v>
      </c>
      <c r="X3" s="16">
        <v>0.95127550020331597</v>
      </c>
      <c r="Y3" s="16">
        <v>2.95371793127691E-3</v>
      </c>
      <c r="Z3" s="16">
        <v>2.45105034193503E-3</v>
      </c>
      <c r="AA3" s="16"/>
      <c r="AB3" s="16">
        <v>1.55443609294842E-2</v>
      </c>
      <c r="AC3" s="16"/>
      <c r="AD3" s="11">
        <v>89.916783629480506</v>
      </c>
      <c r="AE3" s="27">
        <v>7.8106616952849928E-2</v>
      </c>
      <c r="AF3" s="28">
        <v>1.0064033011824867E-2</v>
      </c>
      <c r="AG3" s="2">
        <v>273.26501827811501</v>
      </c>
      <c r="AH3" s="26">
        <v>401.80215454101563</v>
      </c>
      <c r="AI3" s="29">
        <v>3.9924566430665811</v>
      </c>
      <c r="AJ3" s="3">
        <v>-1</v>
      </c>
      <c r="AK3" s="22" t="s">
        <v>125</v>
      </c>
    </row>
    <row r="4" spans="1:37" s="5" customFormat="1">
      <c r="A4" s="14" t="s">
        <v>33</v>
      </c>
      <c r="B4" s="15" t="s">
        <v>34</v>
      </c>
      <c r="C4" s="15" t="s">
        <v>35</v>
      </c>
      <c r="D4" s="14" t="s">
        <v>25</v>
      </c>
      <c r="E4" s="14" t="s">
        <v>41</v>
      </c>
      <c r="F4" s="1">
        <v>52.308</v>
      </c>
      <c r="G4" s="1">
        <v>0.29799999999999999</v>
      </c>
      <c r="H4" s="1">
        <v>2.077</v>
      </c>
      <c r="I4" s="1">
        <v>0.34200000000000003</v>
      </c>
      <c r="J4" s="1">
        <v>3.8439999999999999</v>
      </c>
      <c r="K4" s="1">
        <v>0.106</v>
      </c>
      <c r="L4" s="1">
        <v>17.885000000000002</v>
      </c>
      <c r="M4" s="1">
        <v>23.361999999999998</v>
      </c>
      <c r="N4" s="1"/>
      <c r="O4" s="1"/>
      <c r="P4" s="3"/>
      <c r="Q4" s="10">
        <v>6.9000000000000006E-2</v>
      </c>
      <c r="R4" s="16">
        <v>1.9114634105460699</v>
      </c>
      <c r="S4" s="16">
        <v>8.1883666878732903E-3</v>
      </c>
      <c r="T4" s="16">
        <v>8.9446729017034904E-2</v>
      </c>
      <c r="U4" s="16">
        <v>9.8796216195464505E-3</v>
      </c>
      <c r="V4" s="16">
        <v>0.11745848760701</v>
      </c>
      <c r="W4" s="16">
        <v>0.91459708462452105</v>
      </c>
      <c r="X4" s="16">
        <v>0.97434261188634197</v>
      </c>
      <c r="Y4" s="16">
        <v>3.28051840889617E-3</v>
      </c>
      <c r="Z4" s="16">
        <v>2.0282170504714401E-3</v>
      </c>
      <c r="AA4" s="16"/>
      <c r="AB4" s="16">
        <v>1.55443609294842E-2</v>
      </c>
      <c r="AC4" s="16"/>
      <c r="AD4" s="11">
        <v>89.241768701138298</v>
      </c>
      <c r="AE4" s="27">
        <v>9.148184833216999E-2</v>
      </c>
      <c r="AF4" s="28">
        <v>1.0904819610443104E-2</v>
      </c>
      <c r="AG4" s="2">
        <v>175.55625917503801</v>
      </c>
      <c r="AH4" s="26">
        <v>376.66690063476563</v>
      </c>
      <c r="AI4" s="29">
        <v>3.4541323386408611</v>
      </c>
      <c r="AJ4" s="3">
        <v>-1</v>
      </c>
      <c r="AK4" s="22" t="s">
        <v>125</v>
      </c>
    </row>
    <row r="5" spans="1:37" s="5" customFormat="1">
      <c r="A5" s="14" t="s">
        <v>33</v>
      </c>
      <c r="B5" s="15" t="s">
        <v>34</v>
      </c>
      <c r="C5" s="15" t="s">
        <v>35</v>
      </c>
      <c r="D5" s="14" t="s">
        <v>25</v>
      </c>
      <c r="E5" s="14" t="s">
        <v>42</v>
      </c>
      <c r="F5" s="1">
        <v>51.970999999999997</v>
      </c>
      <c r="G5" s="1">
        <v>0.29599999999999999</v>
      </c>
      <c r="H5" s="1">
        <v>2.512</v>
      </c>
      <c r="I5" s="1">
        <v>1.415</v>
      </c>
      <c r="J5" s="1">
        <v>3.1230000000000002</v>
      </c>
      <c r="K5" s="1">
        <v>7.4999999999999997E-2</v>
      </c>
      <c r="L5" s="1">
        <v>17.364999999999998</v>
      </c>
      <c r="M5" s="1">
        <v>23.062000000000001</v>
      </c>
      <c r="N5" s="1"/>
      <c r="O5" s="1"/>
      <c r="P5" s="3"/>
      <c r="Q5" s="10">
        <v>3.7999999999999999E-2</v>
      </c>
      <c r="R5" s="16">
        <v>1.90362833734871</v>
      </c>
      <c r="S5" s="16">
        <v>8.1525964117375293E-3</v>
      </c>
      <c r="T5" s="16">
        <v>0.108435332528664</v>
      </c>
      <c r="U5" s="16">
        <v>4.0972631641910902E-2</v>
      </c>
      <c r="V5" s="16">
        <v>9.5652477555018905E-2</v>
      </c>
      <c r="W5" s="16">
        <v>0.90498206941064696</v>
      </c>
      <c r="X5" s="16">
        <v>0.94824541877781499</v>
      </c>
      <c r="Y5" s="16">
        <v>2.3265966098747902E-3</v>
      </c>
      <c r="Z5" s="16">
        <v>1.11962386989274E-3</v>
      </c>
      <c r="AA5" s="16"/>
      <c r="AB5" s="16">
        <v>1.55443609294842E-2</v>
      </c>
      <c r="AC5" s="16"/>
      <c r="AD5" s="11">
        <v>90.836989145103004</v>
      </c>
      <c r="AE5" s="27">
        <v>0.10287110807151989</v>
      </c>
      <c r="AF5" s="28">
        <v>1.1875527138397303E-2</v>
      </c>
      <c r="AG5" s="2">
        <v>229.246423534153</v>
      </c>
      <c r="AH5" s="26">
        <v>315.37506103515619</v>
      </c>
      <c r="AI5" s="29">
        <v>2.6556721007815285</v>
      </c>
      <c r="AJ5" s="3">
        <v>-1</v>
      </c>
      <c r="AK5" s="22" t="s">
        <v>125</v>
      </c>
    </row>
    <row r="6" spans="1:37" s="5" customFormat="1">
      <c r="A6" s="14" t="s">
        <v>33</v>
      </c>
      <c r="B6" s="15" t="s">
        <v>34</v>
      </c>
      <c r="C6" s="15" t="s">
        <v>35</v>
      </c>
      <c r="D6" s="14" t="s">
        <v>25</v>
      </c>
      <c r="E6" s="14" t="s">
        <v>43</v>
      </c>
      <c r="F6" s="1">
        <v>51.265999999999998</v>
      </c>
      <c r="G6" s="1">
        <v>0.33400000000000002</v>
      </c>
      <c r="H6" s="1">
        <v>2.85</v>
      </c>
      <c r="I6" s="1">
        <v>1.3160000000000001</v>
      </c>
      <c r="J6" s="1">
        <v>3.532</v>
      </c>
      <c r="K6" s="1">
        <v>7.3999999999999996E-2</v>
      </c>
      <c r="L6" s="1">
        <v>17.135000000000002</v>
      </c>
      <c r="M6" s="1">
        <v>23.56</v>
      </c>
      <c r="N6" s="1"/>
      <c r="O6" s="1"/>
      <c r="P6" s="3"/>
      <c r="Q6" s="10">
        <v>0.126</v>
      </c>
      <c r="R6" s="16">
        <v>1.8809074000329999</v>
      </c>
      <c r="S6" s="16">
        <v>9.2144112919184604E-3</v>
      </c>
      <c r="T6" s="16">
        <v>0.123229002998664</v>
      </c>
      <c r="U6" s="16">
        <v>3.8168949113109002E-2</v>
      </c>
      <c r="V6" s="16">
        <v>0.108358211534183</v>
      </c>
      <c r="W6" s="16">
        <v>0.92605160132681197</v>
      </c>
      <c r="X6" s="16">
        <v>0.93723169828183195</v>
      </c>
      <c r="Y6" s="16">
        <v>2.2993677799995E-3</v>
      </c>
      <c r="Z6" s="16">
        <v>3.71857025967852E-3</v>
      </c>
      <c r="AA6" s="16"/>
      <c r="AB6" s="16">
        <v>1.55443609294842E-2</v>
      </c>
      <c r="AC6" s="16"/>
      <c r="AD6" s="11">
        <v>89.636643342010601</v>
      </c>
      <c r="AE6" s="27">
        <v>0.12371729335539006</v>
      </c>
      <c r="AF6" s="28">
        <v>1.3304550913716453E-2</v>
      </c>
      <c r="AG6" s="2">
        <v>235.44227281886</v>
      </c>
      <c r="AH6" s="26">
        <v>318.58612060546881</v>
      </c>
      <c r="AI6" s="29">
        <v>2.3945650076547822</v>
      </c>
      <c r="AJ6" s="3">
        <v>-1</v>
      </c>
      <c r="AK6" s="22" t="s">
        <v>125</v>
      </c>
    </row>
    <row r="7" spans="1:37" s="5" customFormat="1">
      <c r="A7" s="14" t="s">
        <v>33</v>
      </c>
      <c r="B7" s="15" t="s">
        <v>34</v>
      </c>
      <c r="C7" s="15" t="s">
        <v>35</v>
      </c>
      <c r="D7" s="14" t="s">
        <v>25</v>
      </c>
      <c r="E7" s="14" t="s">
        <v>44</v>
      </c>
      <c r="F7" s="1">
        <v>51.173000000000002</v>
      </c>
      <c r="G7" s="1">
        <v>0.45400000000000001</v>
      </c>
      <c r="H7" s="1">
        <v>3.359</v>
      </c>
      <c r="I7" s="1">
        <v>0.96299999999999997</v>
      </c>
      <c r="J7" s="1">
        <v>3.6219999999999999</v>
      </c>
      <c r="K7" s="1">
        <v>8.6999999999999994E-2</v>
      </c>
      <c r="L7" s="1">
        <v>16.945</v>
      </c>
      <c r="M7" s="1">
        <v>23.103000000000002</v>
      </c>
      <c r="N7" s="1"/>
      <c r="O7" s="1"/>
      <c r="P7" s="3"/>
      <c r="Q7" s="10">
        <v>3.6999999999999998E-2</v>
      </c>
      <c r="R7" s="16">
        <v>1.8807442921776101</v>
      </c>
      <c r="S7" s="16">
        <v>1.2546652565019901E-2</v>
      </c>
      <c r="T7" s="16">
        <v>0.145488602106879</v>
      </c>
      <c r="U7" s="16">
        <v>2.7978955221629902E-2</v>
      </c>
      <c r="V7" s="16">
        <v>0.111311611920365</v>
      </c>
      <c r="W7" s="16">
        <v>0.90966015373535603</v>
      </c>
      <c r="X7" s="16">
        <v>0.92844316931217996</v>
      </c>
      <c r="Y7" s="16">
        <v>2.70798881896914E-3</v>
      </c>
      <c r="Z7" s="16">
        <v>1.093850735108E-3</v>
      </c>
      <c r="AA7" s="16"/>
      <c r="AB7" s="16">
        <v>1.55443609294842E-2</v>
      </c>
      <c r="AC7" s="16"/>
      <c r="AD7" s="11">
        <v>89.294436156531603</v>
      </c>
      <c r="AE7" s="27">
        <v>0.1231850187291601</v>
      </c>
      <c r="AF7" s="28">
        <v>1.3472571090528346E-2</v>
      </c>
      <c r="AG7" s="2">
        <v>195.476153163036</v>
      </c>
      <c r="AH7" s="26">
        <v>346.5413818359375</v>
      </c>
      <c r="AI7" s="29">
        <v>2.5721993189523218</v>
      </c>
      <c r="AJ7" s="3">
        <v>-1</v>
      </c>
      <c r="AK7" s="22" t="s">
        <v>125</v>
      </c>
    </row>
    <row r="8" spans="1:37" s="5" customFormat="1">
      <c r="A8" s="14" t="s">
        <v>33</v>
      </c>
      <c r="B8" s="15" t="s">
        <v>34</v>
      </c>
      <c r="C8" s="15" t="s">
        <v>35</v>
      </c>
      <c r="D8" s="14" t="s">
        <v>25</v>
      </c>
      <c r="E8" s="14" t="s">
        <v>45</v>
      </c>
      <c r="F8" s="1">
        <v>51.017000000000003</v>
      </c>
      <c r="G8" s="1">
        <v>0.36399999999999999</v>
      </c>
      <c r="H8" s="1">
        <v>3.2909999999999999</v>
      </c>
      <c r="I8" s="1">
        <v>1.125</v>
      </c>
      <c r="J8" s="1">
        <v>3.01</v>
      </c>
      <c r="K8" s="1">
        <v>7.3999999999999996E-2</v>
      </c>
      <c r="L8" s="1">
        <v>16.87</v>
      </c>
      <c r="M8" s="1">
        <v>23.887</v>
      </c>
      <c r="N8" s="1"/>
      <c r="O8" s="1"/>
      <c r="P8" s="3"/>
      <c r="Q8" s="10">
        <v>7.1999999999999995E-2</v>
      </c>
      <c r="R8" s="16">
        <v>1.8766426530195299</v>
      </c>
      <c r="S8" s="16">
        <v>1.0068185172662499E-2</v>
      </c>
      <c r="T8" s="16">
        <v>0.14266736538128799</v>
      </c>
      <c r="U8" s="16">
        <v>3.2714140930729503E-2</v>
      </c>
      <c r="V8" s="16">
        <v>9.2584079539951195E-2</v>
      </c>
      <c r="W8" s="16">
        <v>0.94134797932061298</v>
      </c>
      <c r="X8" s="16">
        <v>0.92513822707707505</v>
      </c>
      <c r="Y8" s="16">
        <v>2.3053513591382098E-3</v>
      </c>
      <c r="Z8" s="16">
        <v>2.1304268508109299E-3</v>
      </c>
      <c r="AA8" s="16"/>
      <c r="AB8" s="16">
        <v>1.55443609294842E-2</v>
      </c>
      <c r="AC8" s="16"/>
      <c r="AD8" s="11">
        <v>90.902815145350701</v>
      </c>
      <c r="AE8" s="27">
        <v>0.12931085454318003</v>
      </c>
      <c r="AF8" s="28">
        <v>1.3595527330450004E-2</v>
      </c>
      <c r="AG8" s="2">
        <v>358.39210155148101</v>
      </c>
      <c r="AH8" s="26">
        <v>337.47232055664063</v>
      </c>
      <c r="AI8" s="29">
        <v>2.4822304597248053</v>
      </c>
      <c r="AJ8" s="3">
        <v>-1</v>
      </c>
      <c r="AK8" s="22" t="s">
        <v>125</v>
      </c>
    </row>
    <row r="9" spans="1:37" s="5" customFormat="1">
      <c r="A9" s="14" t="s">
        <v>30</v>
      </c>
      <c r="B9" s="15" t="s">
        <v>32</v>
      </c>
      <c r="C9" s="15" t="s">
        <v>24</v>
      </c>
      <c r="D9" s="14" t="s">
        <v>25</v>
      </c>
      <c r="E9" s="14">
        <v>26</v>
      </c>
      <c r="F9" s="1">
        <v>52.024999999999999</v>
      </c>
      <c r="G9" s="1">
        <v>0.99099999999999999</v>
      </c>
      <c r="H9" s="1">
        <v>2.73</v>
      </c>
      <c r="I9" s="1">
        <v>0.156</v>
      </c>
      <c r="J9" s="1">
        <v>6.6630000000000003</v>
      </c>
      <c r="K9" s="1">
        <v>0.13</v>
      </c>
      <c r="L9" s="1">
        <v>14.981999999999999</v>
      </c>
      <c r="M9" s="1">
        <v>21.693000000000001</v>
      </c>
      <c r="N9" s="1">
        <v>0.38400000000000001</v>
      </c>
      <c r="O9" s="1">
        <v>0</v>
      </c>
      <c r="P9" s="4"/>
      <c r="Q9" s="12">
        <v>0</v>
      </c>
      <c r="R9" s="16">
        <v>1.9247029955689201</v>
      </c>
      <c r="S9" s="16">
        <v>2.7568201378589299E-2</v>
      </c>
      <c r="T9" s="16">
        <v>0.11902669458843899</v>
      </c>
      <c r="U9" s="16">
        <v>4.5623916467057296E-3</v>
      </c>
      <c r="V9" s="16">
        <v>0.20612211883661</v>
      </c>
      <c r="W9" s="16">
        <v>0.85979154223259902</v>
      </c>
      <c r="X9" s="16">
        <v>0.82631626987845097</v>
      </c>
      <c r="Y9" s="16">
        <v>4.0731811524954897E-3</v>
      </c>
      <c r="Z9" s="16">
        <v>0</v>
      </c>
      <c r="AA9" s="16">
        <v>0</v>
      </c>
      <c r="AB9" s="16">
        <v>2.75417293042131E-2</v>
      </c>
      <c r="AC9" s="16"/>
      <c r="AD9" s="11">
        <v>80.035407333783596</v>
      </c>
      <c r="AE9" s="27">
        <v>7.5144496994909993E-2</v>
      </c>
      <c r="AF9" s="28">
        <v>1.0344293194294245E-2</v>
      </c>
      <c r="AG9" s="2">
        <v>75.838125203428405</v>
      </c>
      <c r="AH9" s="26">
        <v>141.8641662597656</v>
      </c>
      <c r="AI9" s="29">
        <v>1.3714244520642136</v>
      </c>
      <c r="AJ9" s="3">
        <v>-1</v>
      </c>
      <c r="AK9" s="22" t="s">
        <v>31</v>
      </c>
    </row>
    <row r="10" spans="1:37" s="5" customFormat="1">
      <c r="A10" s="14" t="s">
        <v>30</v>
      </c>
      <c r="B10" s="15" t="s">
        <v>32</v>
      </c>
      <c r="C10" s="15" t="s">
        <v>24</v>
      </c>
      <c r="D10" s="14" t="s">
        <v>25</v>
      </c>
      <c r="E10" s="14">
        <v>15</v>
      </c>
      <c r="F10" s="1">
        <v>52.026000000000003</v>
      </c>
      <c r="G10" s="1">
        <v>0.81399999999999995</v>
      </c>
      <c r="H10" s="1">
        <v>2.8039999999999998</v>
      </c>
      <c r="I10" s="1">
        <v>0.20399999999999999</v>
      </c>
      <c r="J10" s="1">
        <v>6.8789999999999996</v>
      </c>
      <c r="K10" s="1">
        <v>0.157</v>
      </c>
      <c r="L10" s="1">
        <v>16.062000000000001</v>
      </c>
      <c r="M10" s="1">
        <v>19.96</v>
      </c>
      <c r="N10" s="1">
        <v>0.317</v>
      </c>
      <c r="O10" s="1">
        <v>0</v>
      </c>
      <c r="P10" s="4"/>
      <c r="Q10" s="12">
        <v>0</v>
      </c>
      <c r="R10" s="16">
        <v>1.92693142897687</v>
      </c>
      <c r="S10" s="16">
        <v>2.26700967331597E-2</v>
      </c>
      <c r="T10" s="16">
        <v>0.12239225200947</v>
      </c>
      <c r="U10" s="16">
        <v>5.9729973605297101E-3</v>
      </c>
      <c r="V10" s="16">
        <v>0.21304644152949201</v>
      </c>
      <c r="W10" s="16">
        <v>0.79200564984451005</v>
      </c>
      <c r="X10" s="16">
        <v>0.88689115384213202</v>
      </c>
      <c r="Y10" s="16">
        <v>4.9247503072079998E-3</v>
      </c>
      <c r="Z10" s="16">
        <v>0</v>
      </c>
      <c r="AA10" s="16">
        <v>0</v>
      </c>
      <c r="AB10" s="16">
        <v>2.2762158003195501E-2</v>
      </c>
      <c r="AC10" s="16"/>
      <c r="AD10" s="11">
        <v>80.631042849525301</v>
      </c>
      <c r="AE10" s="27">
        <v>7.2862475564910101E-2</v>
      </c>
      <c r="AF10" s="28">
        <v>1.0905186424530247E-2</v>
      </c>
      <c r="AG10" s="2">
        <v>60.3119802959813</v>
      </c>
      <c r="AH10" s="26">
        <v>204.53065490722659</v>
      </c>
      <c r="AI10" s="29">
        <v>1.8755356116347821</v>
      </c>
      <c r="AJ10" s="3">
        <v>-1</v>
      </c>
      <c r="AK10" s="22" t="s">
        <v>31</v>
      </c>
    </row>
    <row r="11" spans="1:37" s="5" customFormat="1">
      <c r="A11" s="14" t="s">
        <v>30</v>
      </c>
      <c r="B11" s="15" t="s">
        <v>32</v>
      </c>
      <c r="C11" s="15" t="s">
        <v>24</v>
      </c>
      <c r="D11" s="14" t="s">
        <v>25</v>
      </c>
      <c r="E11" s="14">
        <v>16</v>
      </c>
      <c r="F11" s="1">
        <v>51.783000000000001</v>
      </c>
      <c r="G11" s="1">
        <v>0.78300000000000003</v>
      </c>
      <c r="H11" s="1">
        <v>4.18</v>
      </c>
      <c r="I11" s="1">
        <v>0.47599999999999998</v>
      </c>
      <c r="J11" s="1">
        <v>7.3090000000000002</v>
      </c>
      <c r="K11" s="1">
        <v>0.183</v>
      </c>
      <c r="L11" s="1">
        <v>17.245999999999999</v>
      </c>
      <c r="M11" s="1">
        <v>17.359000000000002</v>
      </c>
      <c r="N11" s="1">
        <v>0.48399999999999999</v>
      </c>
      <c r="O11" s="1">
        <v>3.0000000000000001E-3</v>
      </c>
      <c r="P11" s="4"/>
      <c r="Q11" s="12">
        <v>3.2000000000000001E-2</v>
      </c>
      <c r="R11" s="16">
        <v>1.8971781657809701</v>
      </c>
      <c r="S11" s="16">
        <v>2.1570778399880901E-2</v>
      </c>
      <c r="T11" s="16">
        <v>0.18047925316539101</v>
      </c>
      <c r="U11" s="16">
        <v>1.3786187948101601E-2</v>
      </c>
      <c r="V11" s="16">
        <v>0.223914399927582</v>
      </c>
      <c r="W11" s="16">
        <v>0.68134572088355305</v>
      </c>
      <c r="X11" s="16">
        <v>0.94196370700966203</v>
      </c>
      <c r="Y11" s="16">
        <v>5.6782007159025599E-3</v>
      </c>
      <c r="Z11" s="16">
        <v>9.4305789109785498E-4</v>
      </c>
      <c r="AA11" s="16">
        <v>1.40201022862458E-4</v>
      </c>
      <c r="AB11" s="16">
        <v>3.4377526057671699E-2</v>
      </c>
      <c r="AC11" s="16"/>
      <c r="AD11" s="11">
        <v>80.794355894047598</v>
      </c>
      <c r="AE11" s="27">
        <v>0.1028479053156901</v>
      </c>
      <c r="AF11" s="28">
        <v>1.4802131836274258E-2</v>
      </c>
      <c r="AG11" s="2">
        <v>69.924218880734401</v>
      </c>
      <c r="AH11" s="26">
        <v>161.7064208984375</v>
      </c>
      <c r="AI11" s="29">
        <v>1.0924535917330371</v>
      </c>
      <c r="AJ11" s="3">
        <v>-1</v>
      </c>
      <c r="AK11" s="22" t="s">
        <v>31</v>
      </c>
    </row>
    <row r="12" spans="1:37" s="5" customFormat="1">
      <c r="A12" s="14" t="s">
        <v>30</v>
      </c>
      <c r="B12" s="15" t="s">
        <v>32</v>
      </c>
      <c r="C12" s="15" t="s">
        <v>24</v>
      </c>
      <c r="D12" s="14" t="s">
        <v>25</v>
      </c>
      <c r="E12" s="14">
        <v>24.4</v>
      </c>
      <c r="F12" s="1">
        <v>51.948</v>
      </c>
      <c r="G12" s="1">
        <v>0.61299999999999999</v>
      </c>
      <c r="H12" s="1">
        <v>2.8279999999999998</v>
      </c>
      <c r="I12" s="1">
        <v>0.221</v>
      </c>
      <c r="J12" s="1">
        <v>6.6260000000000003</v>
      </c>
      <c r="K12" s="1">
        <v>0.125</v>
      </c>
      <c r="L12" s="1">
        <v>16.22</v>
      </c>
      <c r="M12" s="1">
        <v>20.193999999999999</v>
      </c>
      <c r="N12" s="1">
        <v>0.35299999999999998</v>
      </c>
      <c r="O12" s="1">
        <v>5.0000000000000001E-3</v>
      </c>
      <c r="P12" s="4"/>
      <c r="Q12" s="12">
        <v>0</v>
      </c>
      <c r="R12" s="16">
        <v>1.9253501575616401</v>
      </c>
      <c r="S12" s="16">
        <v>1.7083801324874501E-2</v>
      </c>
      <c r="T12" s="16">
        <v>0.123523728165315</v>
      </c>
      <c r="U12" s="16">
        <v>6.4751450033163297E-3</v>
      </c>
      <c r="V12" s="16">
        <v>0.20535036354585001</v>
      </c>
      <c r="W12" s="16">
        <v>0.80183528564314399</v>
      </c>
      <c r="X12" s="16">
        <v>0.89622410523877505</v>
      </c>
      <c r="Y12" s="16">
        <v>3.9236444494873098E-3</v>
      </c>
      <c r="Z12" s="16">
        <v>0</v>
      </c>
      <c r="AA12" s="16">
        <v>2.3638499978482301E-4</v>
      </c>
      <c r="AB12" s="16">
        <v>2.5364362193755499E-2</v>
      </c>
      <c r="AC12" s="16"/>
      <c r="AD12" s="11">
        <v>81.358467415061398</v>
      </c>
      <c r="AE12" s="27">
        <v>7.4657705191990109E-2</v>
      </c>
      <c r="AF12" s="28">
        <v>1.0927619634836497E-2</v>
      </c>
      <c r="AG12" s="2">
        <v>52.417742037345</v>
      </c>
      <c r="AH12" s="26">
        <v>191.1163330078125</v>
      </c>
      <c r="AI12" s="29">
        <v>1.7489292214980361</v>
      </c>
      <c r="AJ12" s="3">
        <v>-1</v>
      </c>
      <c r="AK12" s="22" t="s">
        <v>31</v>
      </c>
    </row>
    <row r="13" spans="1:37" s="5" customFormat="1">
      <c r="A13" s="14" t="s">
        <v>30</v>
      </c>
      <c r="B13" s="15" t="s">
        <v>32</v>
      </c>
      <c r="C13" s="15" t="s">
        <v>24</v>
      </c>
      <c r="D13" s="14" t="s">
        <v>25</v>
      </c>
      <c r="E13" s="14">
        <v>25</v>
      </c>
      <c r="F13" s="1">
        <v>52.094000000000001</v>
      </c>
      <c r="G13" s="1">
        <v>0.89300000000000002</v>
      </c>
      <c r="H13" s="1">
        <v>2.7370000000000001</v>
      </c>
      <c r="I13" s="1">
        <v>0.17499999999999999</v>
      </c>
      <c r="J13" s="1">
        <v>6.7409999999999997</v>
      </c>
      <c r="K13" s="1">
        <v>8.4000000000000005E-2</v>
      </c>
      <c r="L13" s="1">
        <v>15.477</v>
      </c>
      <c r="M13" s="1">
        <v>20.853000000000002</v>
      </c>
      <c r="N13" s="1">
        <v>0.29199999999999998</v>
      </c>
      <c r="O13" s="1">
        <v>0</v>
      </c>
      <c r="P13" s="4"/>
      <c r="Q13" s="12">
        <v>2.9000000000000001E-2</v>
      </c>
      <c r="R13" s="16">
        <v>1.92934971915855</v>
      </c>
      <c r="S13" s="16">
        <v>2.4868973184377901E-2</v>
      </c>
      <c r="T13" s="16">
        <v>0.119461548728699</v>
      </c>
      <c r="U13" s="16">
        <v>5.1236284780834E-3</v>
      </c>
      <c r="V13" s="16">
        <v>0.20876165403143701</v>
      </c>
      <c r="W13" s="16">
        <v>0.82739656344650103</v>
      </c>
      <c r="X13" s="16">
        <v>0.854544947834464</v>
      </c>
      <c r="Y13" s="16">
        <v>2.6347613036436799E-3</v>
      </c>
      <c r="Z13" s="16">
        <v>8.6395020681260095E-4</v>
      </c>
      <c r="AA13" s="16">
        <v>0</v>
      </c>
      <c r="AB13" s="16">
        <v>2.0965945362213901E-2</v>
      </c>
      <c r="AC13" s="16"/>
      <c r="AD13" s="11">
        <v>80.366749001172394</v>
      </c>
      <c r="AE13" s="27">
        <v>7.0756577498350071E-2</v>
      </c>
      <c r="AF13" s="28">
        <v>1.0384143578626754E-2</v>
      </c>
      <c r="AG13" s="2">
        <v>53.680820158726803</v>
      </c>
      <c r="AH13" s="26">
        <v>167.8017272949219</v>
      </c>
      <c r="AI13" s="29">
        <v>1.6159419024242032</v>
      </c>
      <c r="AJ13" s="3">
        <v>-1</v>
      </c>
      <c r="AK13" s="22" t="s">
        <v>31</v>
      </c>
    </row>
    <row r="14" spans="1:37" s="5" customFormat="1">
      <c r="A14" s="14" t="s">
        <v>30</v>
      </c>
      <c r="B14" s="15" t="s">
        <v>32</v>
      </c>
      <c r="C14" s="15" t="s">
        <v>24</v>
      </c>
      <c r="D14" s="14" t="s">
        <v>25</v>
      </c>
      <c r="E14" s="14">
        <v>42.2</v>
      </c>
      <c r="F14" s="1">
        <v>52.286000000000001</v>
      </c>
      <c r="G14" s="1">
        <v>0.70599999999999996</v>
      </c>
      <c r="H14" s="1">
        <v>3.7450000000000001</v>
      </c>
      <c r="I14" s="1">
        <v>0.17100000000000001</v>
      </c>
      <c r="J14" s="1">
        <v>7.1559999999999997</v>
      </c>
      <c r="K14" s="1">
        <v>0.14000000000000001</v>
      </c>
      <c r="L14" s="1">
        <v>16.823</v>
      </c>
      <c r="M14" s="1">
        <v>18.233000000000001</v>
      </c>
      <c r="N14" s="1">
        <v>0.55500000000000005</v>
      </c>
      <c r="O14" s="1">
        <v>0</v>
      </c>
      <c r="P14" s="4"/>
      <c r="Q14" s="12">
        <v>5.7000000000000002E-2</v>
      </c>
      <c r="R14" s="16">
        <v>1.9157475491329701</v>
      </c>
      <c r="S14" s="16">
        <v>1.9450944998150799E-2</v>
      </c>
      <c r="T14" s="16">
        <v>0.16170921726078699</v>
      </c>
      <c r="U14" s="16">
        <v>4.9529654915617003E-3</v>
      </c>
      <c r="V14" s="16">
        <v>0.21924330662717401</v>
      </c>
      <c r="W14" s="16">
        <v>0.71570312099892497</v>
      </c>
      <c r="X14" s="16">
        <v>0.91892736106470796</v>
      </c>
      <c r="Y14" s="16">
        <v>4.3442982728354902E-3</v>
      </c>
      <c r="Z14" s="16">
        <v>1.67994545168335E-3</v>
      </c>
      <c r="AA14" s="16">
        <v>0</v>
      </c>
      <c r="AB14" s="16">
        <v>3.9423410387820303E-2</v>
      </c>
      <c r="AC14" s="16"/>
      <c r="AD14" s="11">
        <v>80.7372204493917</v>
      </c>
      <c r="AE14" s="27">
        <v>8.4403625239229951E-2</v>
      </c>
      <c r="AF14" s="28">
        <v>1.2690076403990698E-2</v>
      </c>
      <c r="AG14" s="2">
        <v>55.839441374366999</v>
      </c>
      <c r="AH14" s="26">
        <v>205.86347961425781</v>
      </c>
      <c r="AI14" s="29">
        <v>1.6222398751635498</v>
      </c>
      <c r="AJ14" s="3">
        <v>-1</v>
      </c>
      <c r="AK14" s="22" t="s">
        <v>31</v>
      </c>
    </row>
    <row r="15" spans="1:37" s="5" customFormat="1">
      <c r="A15" s="14" t="s">
        <v>30</v>
      </c>
      <c r="B15" s="15" t="s">
        <v>32</v>
      </c>
      <c r="C15" s="15" t="s">
        <v>24</v>
      </c>
      <c r="D15" s="14" t="s">
        <v>25</v>
      </c>
      <c r="E15" s="14">
        <v>2</v>
      </c>
      <c r="F15" s="1">
        <v>52.008000000000003</v>
      </c>
      <c r="G15" s="1">
        <v>0.93200000000000005</v>
      </c>
      <c r="H15" s="1">
        <v>2.76</v>
      </c>
      <c r="I15" s="1">
        <v>0.17199999999999999</v>
      </c>
      <c r="J15" s="1">
        <v>6.5220000000000002</v>
      </c>
      <c r="K15" s="1">
        <v>0.129</v>
      </c>
      <c r="L15" s="1">
        <v>15.429</v>
      </c>
      <c r="M15" s="1">
        <v>21.600999999999999</v>
      </c>
      <c r="N15" s="1">
        <v>0.376</v>
      </c>
      <c r="O15" s="1">
        <v>0</v>
      </c>
      <c r="P15" s="4"/>
      <c r="Q15" s="12">
        <v>2.5000000000000001E-2</v>
      </c>
      <c r="R15" s="16">
        <v>1.9192137417808499</v>
      </c>
      <c r="S15" s="16">
        <v>2.58614129204374E-2</v>
      </c>
      <c r="T15" s="16">
        <v>0.120030707633949</v>
      </c>
      <c r="U15" s="16">
        <v>5.0176223385332503E-3</v>
      </c>
      <c r="V15" s="16">
        <v>0.20125057854586101</v>
      </c>
      <c r="W15" s="16">
        <v>0.85398249285011396</v>
      </c>
      <c r="X15" s="16">
        <v>0.84882047790603099</v>
      </c>
      <c r="Y15" s="16">
        <v>4.03163903716374E-3</v>
      </c>
      <c r="Z15" s="16">
        <v>7.4209698094863301E-4</v>
      </c>
      <c r="AA15" s="16">
        <v>0</v>
      </c>
      <c r="AB15" s="16">
        <v>2.6899820637176001E-2</v>
      </c>
      <c r="AC15" s="16"/>
      <c r="AD15" s="11">
        <v>80.8345752119032</v>
      </c>
      <c r="AE15" s="27">
        <v>8.0786258219150087E-2</v>
      </c>
      <c r="AF15" s="28">
        <v>1.0792845539387799E-2</v>
      </c>
      <c r="AG15" s="2">
        <v>17.920849581017201</v>
      </c>
      <c r="AH15" s="26">
        <v>149.51438903808591</v>
      </c>
      <c r="AI15" s="29">
        <v>1.3853101899072189</v>
      </c>
      <c r="AJ15" s="3">
        <v>-1</v>
      </c>
      <c r="AK15" s="22" t="s">
        <v>31</v>
      </c>
    </row>
    <row r="16" spans="1:37" s="5" customFormat="1">
      <c r="A16" s="14" t="s">
        <v>30</v>
      </c>
      <c r="B16" s="15" t="s">
        <v>32</v>
      </c>
      <c r="C16" s="15" t="s">
        <v>24</v>
      </c>
      <c r="D16" s="14" t="s">
        <v>25</v>
      </c>
      <c r="E16" s="14">
        <v>5.2</v>
      </c>
      <c r="F16" s="1">
        <v>51.609000000000002</v>
      </c>
      <c r="G16" s="1">
        <v>1.139</v>
      </c>
      <c r="H16" s="1">
        <v>2.9630000000000001</v>
      </c>
      <c r="I16" s="1">
        <v>0.23899999999999999</v>
      </c>
      <c r="J16" s="1">
        <v>6.3419999999999996</v>
      </c>
      <c r="K16" s="1">
        <v>0.05</v>
      </c>
      <c r="L16" s="1">
        <v>14.750999999999999</v>
      </c>
      <c r="M16" s="1">
        <v>21.763000000000002</v>
      </c>
      <c r="N16" s="1">
        <v>0.39600000000000002</v>
      </c>
      <c r="O16" s="1">
        <v>3.0000000000000001E-3</v>
      </c>
      <c r="P16" s="4"/>
      <c r="Q16" s="12">
        <v>0</v>
      </c>
      <c r="R16" s="16">
        <v>1.9174840692089199</v>
      </c>
      <c r="S16" s="16">
        <v>3.1820953515162197E-2</v>
      </c>
      <c r="T16" s="16">
        <v>0.12973825871061501</v>
      </c>
      <c r="U16" s="16">
        <v>7.0197323416303402E-3</v>
      </c>
      <c r="V16" s="16">
        <v>0.19703152085249001</v>
      </c>
      <c r="W16" s="16">
        <v>0.86625748753040199</v>
      </c>
      <c r="X16" s="16">
        <v>0.81705757598612605</v>
      </c>
      <c r="Y16" s="16">
        <v>1.5733127587456901E-3</v>
      </c>
      <c r="Z16" s="16">
        <v>0</v>
      </c>
      <c r="AA16" s="16">
        <v>1.4217937210881499E-4</v>
      </c>
      <c r="AB16" s="16">
        <v>2.8523962319294102E-2</v>
      </c>
      <c r="AC16" s="16"/>
      <c r="AD16" s="11">
        <v>80.570590743285905</v>
      </c>
      <c r="AE16" s="27">
        <v>8.2515930791080105E-2</v>
      </c>
      <c r="AF16" s="28">
        <v>1.0781711742385418E-2</v>
      </c>
      <c r="AG16" s="2">
        <v>34.016427445449303</v>
      </c>
      <c r="AH16" s="26">
        <v>128.3962097167969</v>
      </c>
      <c r="AI16" s="29">
        <v>1.1908703625607195</v>
      </c>
      <c r="AJ16" s="3">
        <v>-1</v>
      </c>
      <c r="AK16" s="22" t="s">
        <v>31</v>
      </c>
    </row>
    <row r="17" spans="1:37" s="5" customFormat="1">
      <c r="A17" s="14" t="s">
        <v>30</v>
      </c>
      <c r="B17" s="15" t="s">
        <v>32</v>
      </c>
      <c r="C17" s="15" t="s">
        <v>24</v>
      </c>
      <c r="D17" s="14" t="s">
        <v>25</v>
      </c>
      <c r="E17" s="14">
        <v>12.3</v>
      </c>
      <c r="F17" s="1">
        <v>51.741999999999997</v>
      </c>
      <c r="G17" s="1">
        <v>1.1160000000000001</v>
      </c>
      <c r="H17" s="1">
        <v>3.0139999999999998</v>
      </c>
      <c r="I17" s="1">
        <v>0.13500000000000001</v>
      </c>
      <c r="J17" s="1">
        <v>6.54</v>
      </c>
      <c r="K17" s="1">
        <v>8.1000000000000003E-2</v>
      </c>
      <c r="L17" s="1">
        <v>15.228</v>
      </c>
      <c r="M17" s="1">
        <v>21.672000000000001</v>
      </c>
      <c r="N17" s="1">
        <v>0.40300000000000002</v>
      </c>
      <c r="O17" s="1">
        <v>0</v>
      </c>
      <c r="P17" s="4"/>
      <c r="Q17" s="12">
        <v>0</v>
      </c>
      <c r="R17" s="16">
        <v>1.91049379559451</v>
      </c>
      <c r="S17" s="16">
        <v>3.0984875773865599E-2</v>
      </c>
      <c r="T17" s="16">
        <v>0.13115225460958499</v>
      </c>
      <c r="U17" s="16">
        <v>3.9405107825740597E-3</v>
      </c>
      <c r="V17" s="16">
        <v>0.20192185152922601</v>
      </c>
      <c r="W17" s="16">
        <v>0.85728126164682905</v>
      </c>
      <c r="X17" s="16">
        <v>0.83824344508314796</v>
      </c>
      <c r="Y17" s="16">
        <v>2.5329474441130101E-3</v>
      </c>
      <c r="Z17" s="16">
        <v>0</v>
      </c>
      <c r="AA17" s="16">
        <v>0</v>
      </c>
      <c r="AB17" s="16">
        <v>2.88480069433815E-2</v>
      </c>
      <c r="AC17" s="16"/>
      <c r="AD17" s="11">
        <v>80.587522753657694</v>
      </c>
      <c r="AE17" s="27">
        <v>8.9506204405489953E-2</v>
      </c>
      <c r="AF17" s="28">
        <v>1.1384631660852042E-2</v>
      </c>
      <c r="AG17" s="2">
        <v>46.203978405719603</v>
      </c>
      <c r="AH17" s="26">
        <v>156.3168029785156</v>
      </c>
      <c r="AI17" s="29">
        <v>1.3730510361265094</v>
      </c>
      <c r="AJ17" s="3">
        <v>-1</v>
      </c>
      <c r="AK17" s="22" t="s">
        <v>31</v>
      </c>
    </row>
    <row r="18" spans="1:37" s="5" customFormat="1">
      <c r="A18" s="14" t="s">
        <v>30</v>
      </c>
      <c r="B18" s="15" t="s">
        <v>32</v>
      </c>
      <c r="C18" s="15" t="s">
        <v>24</v>
      </c>
      <c r="D18" s="14" t="s">
        <v>25</v>
      </c>
      <c r="E18" s="14">
        <v>13</v>
      </c>
      <c r="F18" s="1">
        <v>51.868000000000002</v>
      </c>
      <c r="G18" s="1">
        <v>0.91900000000000004</v>
      </c>
      <c r="H18" s="1">
        <v>2.96</v>
      </c>
      <c r="I18" s="1">
        <v>0.10199999999999999</v>
      </c>
      <c r="J18" s="1">
        <v>6.5880000000000001</v>
      </c>
      <c r="K18" s="1">
        <v>0.104</v>
      </c>
      <c r="L18" s="1">
        <v>14.829000000000001</v>
      </c>
      <c r="M18" s="1">
        <v>21.399000000000001</v>
      </c>
      <c r="N18" s="1">
        <v>0.34200000000000003</v>
      </c>
      <c r="O18" s="1">
        <v>0</v>
      </c>
      <c r="P18" s="4"/>
      <c r="Q18" s="12">
        <v>3.1E-2</v>
      </c>
      <c r="R18" s="16">
        <v>1.9274910109291401</v>
      </c>
      <c r="S18" s="16">
        <v>2.5679792798798201E-2</v>
      </c>
      <c r="T18" s="16">
        <v>0.12963272878964999</v>
      </c>
      <c r="U18" s="16">
        <v>2.9964660579526602E-3</v>
      </c>
      <c r="V18" s="16">
        <v>0.204714969588631</v>
      </c>
      <c r="W18" s="16">
        <v>0.85193852361363998</v>
      </c>
      <c r="X18" s="16">
        <v>0.82154168081955903</v>
      </c>
      <c r="Y18" s="16">
        <v>3.27314268921787E-3</v>
      </c>
      <c r="Z18" s="16">
        <v>9.2666341565220795E-4</v>
      </c>
      <c r="AA18" s="16">
        <v>0</v>
      </c>
      <c r="AB18" s="16">
        <v>2.4639240292031399E-2</v>
      </c>
      <c r="AC18" s="16"/>
      <c r="AD18" s="11">
        <v>80.052263777564207</v>
      </c>
      <c r="AE18" s="27">
        <v>7.2508989070859897E-2</v>
      </c>
      <c r="AF18" s="28">
        <v>1.0248436776348303E-2</v>
      </c>
      <c r="AG18" s="2">
        <v>19.589406049208598</v>
      </c>
      <c r="AH18" s="26">
        <v>145.75758361816409</v>
      </c>
      <c r="AI18" s="29">
        <v>1.4222421116413431</v>
      </c>
      <c r="AJ18" s="3">
        <v>-1</v>
      </c>
      <c r="AK18" s="22" t="s">
        <v>31</v>
      </c>
    </row>
    <row r="19" spans="1:37" s="5" customFormat="1">
      <c r="A19" s="14" t="s">
        <v>30</v>
      </c>
      <c r="B19" s="15" t="s">
        <v>32</v>
      </c>
      <c r="C19" s="15" t="s">
        <v>24</v>
      </c>
      <c r="D19" s="14" t="s">
        <v>25</v>
      </c>
      <c r="E19" s="14">
        <v>32</v>
      </c>
      <c r="F19" s="1">
        <v>52.198</v>
      </c>
      <c r="G19" s="1">
        <v>1.123</v>
      </c>
      <c r="H19" s="1">
        <v>2.9529999999999998</v>
      </c>
      <c r="I19" s="1">
        <v>0.109</v>
      </c>
      <c r="J19" s="1">
        <v>6.8220000000000001</v>
      </c>
      <c r="K19" s="1">
        <v>6.0999999999999999E-2</v>
      </c>
      <c r="L19" s="1">
        <v>15.339</v>
      </c>
      <c r="M19" s="1">
        <v>21.693999999999999</v>
      </c>
      <c r="N19" s="1">
        <v>0.36899999999999999</v>
      </c>
      <c r="O19" s="1">
        <v>0</v>
      </c>
      <c r="P19" s="4"/>
      <c r="Q19" s="12">
        <v>1E-3</v>
      </c>
      <c r="R19" s="16">
        <v>1.9136744549454501</v>
      </c>
      <c r="S19" s="16">
        <v>3.0958299508369799E-2</v>
      </c>
      <c r="T19" s="16">
        <v>0.127587385027503</v>
      </c>
      <c r="U19" s="16">
        <v>3.1590538295958098E-3</v>
      </c>
      <c r="V19" s="16">
        <v>0.209136128036646</v>
      </c>
      <c r="W19" s="16">
        <v>0.85207093523392397</v>
      </c>
      <c r="X19" s="16">
        <v>0.83837075798596095</v>
      </c>
      <c r="Y19" s="16">
        <v>1.8940121971540999E-3</v>
      </c>
      <c r="Z19" s="16">
        <v>2.94904677620749E-5</v>
      </c>
      <c r="AA19" s="16">
        <v>0</v>
      </c>
      <c r="AB19" s="16">
        <v>2.62270177705104E-2</v>
      </c>
      <c r="AC19" s="16"/>
      <c r="AD19" s="11">
        <v>80.034868426427494</v>
      </c>
      <c r="AE19" s="27">
        <v>8.6325545054549924E-2</v>
      </c>
      <c r="AF19" s="28">
        <v>1.1209934416296689E-2</v>
      </c>
      <c r="AG19" s="2">
        <v>19.990449007696299</v>
      </c>
      <c r="AH19" s="26">
        <v>137.06781005859381</v>
      </c>
      <c r="AI19" s="29">
        <v>1.2227351647956874</v>
      </c>
      <c r="AJ19" s="3">
        <v>-1</v>
      </c>
      <c r="AK19" s="22" t="s">
        <v>31</v>
      </c>
    </row>
    <row r="20" spans="1:37" s="5" customFormat="1">
      <c r="A20" s="14" t="s">
        <v>30</v>
      </c>
      <c r="B20" s="15" t="s">
        <v>32</v>
      </c>
      <c r="C20" s="15" t="s">
        <v>24</v>
      </c>
      <c r="D20" s="14" t="s">
        <v>25</v>
      </c>
      <c r="E20" s="14">
        <v>2</v>
      </c>
      <c r="F20" s="1">
        <v>51.902999999999999</v>
      </c>
      <c r="G20" s="1">
        <v>1.123</v>
      </c>
      <c r="H20" s="1">
        <v>2.81</v>
      </c>
      <c r="I20" s="1">
        <v>0.217</v>
      </c>
      <c r="J20" s="1">
        <v>6.4560000000000004</v>
      </c>
      <c r="K20" s="1">
        <v>9.2999999999999999E-2</v>
      </c>
      <c r="L20" s="1">
        <v>15.012</v>
      </c>
      <c r="M20" s="1">
        <v>21.710999999999999</v>
      </c>
      <c r="N20" s="1">
        <v>0.313</v>
      </c>
      <c r="O20" s="1">
        <v>0</v>
      </c>
      <c r="P20" s="4"/>
      <c r="Q20" s="12">
        <v>5.1999999999999998E-2</v>
      </c>
      <c r="R20" s="9">
        <v>1.9201794240702399</v>
      </c>
      <c r="S20" s="9">
        <v>3.1240088227857801E-2</v>
      </c>
      <c r="T20" s="9">
        <v>0.12251401242382</v>
      </c>
      <c r="U20" s="9">
        <v>6.3463704096295998E-3</v>
      </c>
      <c r="V20" s="9">
        <v>0.19971745538145699</v>
      </c>
      <c r="W20" s="9">
        <v>0.86050044087968403</v>
      </c>
      <c r="X20" s="9">
        <v>0.82796653632220596</v>
      </c>
      <c r="Y20" s="9">
        <v>2.91387581738199E-3</v>
      </c>
      <c r="Z20" s="9">
        <v>1.54746259092767E-3</v>
      </c>
      <c r="AA20" s="9">
        <v>0</v>
      </c>
      <c r="AB20" s="9">
        <v>2.2449260323944099E-2</v>
      </c>
      <c r="AC20" s="16"/>
      <c r="AD20" s="11">
        <v>80.566258013772199</v>
      </c>
      <c r="AE20" s="27">
        <v>7.9820575929760107E-2</v>
      </c>
      <c r="AF20" s="28">
        <v>1.0655632031740206E-2</v>
      </c>
      <c r="AG20" s="2">
        <v>23.1399858956276</v>
      </c>
      <c r="AH20" s="26">
        <v>222.91377258300781</v>
      </c>
      <c r="AI20" s="29">
        <v>2.0919807658429721</v>
      </c>
      <c r="AJ20" s="3">
        <v>-1</v>
      </c>
      <c r="AK20" s="22" t="s">
        <v>31</v>
      </c>
    </row>
    <row r="21" spans="1:37" s="5" customFormat="1">
      <c r="A21" s="14" t="s">
        <v>30</v>
      </c>
      <c r="B21" s="15" t="s">
        <v>32</v>
      </c>
      <c r="C21" s="15" t="s">
        <v>24</v>
      </c>
      <c r="D21" s="14" t="s">
        <v>25</v>
      </c>
      <c r="E21" s="14">
        <v>4</v>
      </c>
      <c r="F21" s="1">
        <v>52.081000000000003</v>
      </c>
      <c r="G21" s="1">
        <v>0.99</v>
      </c>
      <c r="H21" s="1">
        <v>2.6920000000000002</v>
      </c>
      <c r="I21" s="1">
        <v>0.13300000000000001</v>
      </c>
      <c r="J21" s="1">
        <v>6.4870000000000001</v>
      </c>
      <c r="K21" s="1">
        <v>7.3999999999999996E-2</v>
      </c>
      <c r="L21" s="1">
        <v>14.959</v>
      </c>
      <c r="M21" s="1">
        <v>21.702999999999999</v>
      </c>
      <c r="N21" s="1">
        <v>0.45600000000000002</v>
      </c>
      <c r="O21" s="1">
        <v>0</v>
      </c>
      <c r="P21" s="4"/>
      <c r="Q21" s="12">
        <v>0</v>
      </c>
      <c r="R21" s="9">
        <v>1.9283481781946199</v>
      </c>
      <c r="S21" s="9">
        <v>2.7562872534350202E-2</v>
      </c>
      <c r="T21" s="9">
        <v>0.11746575808519499</v>
      </c>
      <c r="U21" s="9">
        <v>3.8929077294096101E-3</v>
      </c>
      <c r="V21" s="9">
        <v>0.200841375410519</v>
      </c>
      <c r="W21" s="9">
        <v>0.86089032455040604</v>
      </c>
      <c r="X21" s="9">
        <v>0.82572147074425295</v>
      </c>
      <c r="Y21" s="9">
        <v>2.3204734139619901E-3</v>
      </c>
      <c r="Z21" s="9">
        <v>0</v>
      </c>
      <c r="AA21" s="9">
        <v>0</v>
      </c>
      <c r="AB21" s="9">
        <v>3.2732511402033503E-2</v>
      </c>
      <c r="AC21" s="16"/>
      <c r="AD21" s="11">
        <v>80.435549936098198</v>
      </c>
      <c r="AE21" s="27">
        <v>7.16518218053801E-2</v>
      </c>
      <c r="AF21" s="28">
        <v>1.0100670382674008E-2</v>
      </c>
      <c r="AG21" s="2">
        <v>28.515361501195802</v>
      </c>
      <c r="AH21" s="26">
        <v>159.89308166503909</v>
      </c>
      <c r="AI21" s="29">
        <v>1.5829947479457267</v>
      </c>
      <c r="AJ21" s="3">
        <v>-1</v>
      </c>
      <c r="AK21" s="22" t="s">
        <v>31</v>
      </c>
    </row>
    <row r="22" spans="1:37" s="5" customFormat="1">
      <c r="A22" s="14" t="s">
        <v>30</v>
      </c>
      <c r="B22" s="15" t="s">
        <v>32</v>
      </c>
      <c r="C22" s="15" t="s">
        <v>24</v>
      </c>
      <c r="D22" s="14" t="s">
        <v>25</v>
      </c>
      <c r="E22" s="14">
        <v>5</v>
      </c>
      <c r="F22" s="1">
        <v>51.942</v>
      </c>
      <c r="G22" s="1">
        <v>0.94399999999999995</v>
      </c>
      <c r="H22" s="1">
        <v>2.738</v>
      </c>
      <c r="I22" s="1">
        <v>0.21099999999999999</v>
      </c>
      <c r="J22" s="1">
        <v>6.532</v>
      </c>
      <c r="K22" s="1">
        <v>0.08</v>
      </c>
      <c r="L22" s="1">
        <v>15.284000000000001</v>
      </c>
      <c r="M22" s="1">
        <v>21.678000000000001</v>
      </c>
      <c r="N22" s="1">
        <v>0.28799999999999998</v>
      </c>
      <c r="O22" s="1">
        <v>0</v>
      </c>
      <c r="P22" s="4"/>
      <c r="Q22" s="12">
        <v>2.5999999999999999E-2</v>
      </c>
      <c r="R22" s="9">
        <v>1.9210068654477399</v>
      </c>
      <c r="S22" s="9">
        <v>2.6252180888156E-2</v>
      </c>
      <c r="T22" s="9">
        <v>0.119336634477265</v>
      </c>
      <c r="U22" s="9">
        <v>6.1689185489425301E-3</v>
      </c>
      <c r="V22" s="9">
        <v>0.202003817397926</v>
      </c>
      <c r="W22" s="9">
        <v>0.85891735901168598</v>
      </c>
      <c r="X22" s="9">
        <v>0.84269837401419001</v>
      </c>
      <c r="Y22" s="9">
        <v>2.50575713656762E-3</v>
      </c>
      <c r="Z22" s="9">
        <v>7.7348351401974598E-4</v>
      </c>
      <c r="AA22" s="9">
        <v>0</v>
      </c>
      <c r="AB22" s="9">
        <v>2.06495734290153E-2</v>
      </c>
      <c r="AC22" s="16"/>
      <c r="AD22" s="11">
        <v>80.663980696271096</v>
      </c>
      <c r="AE22" s="27">
        <v>7.8993134552260091E-2</v>
      </c>
      <c r="AF22" s="28">
        <v>1.0615267495053588E-2</v>
      </c>
      <c r="AG22" s="2">
        <v>28.208744710860401</v>
      </c>
      <c r="AH22" s="26">
        <v>208.9834289550781</v>
      </c>
      <c r="AI22" s="29">
        <v>1.9687061965462331</v>
      </c>
      <c r="AJ22" s="3">
        <v>-1</v>
      </c>
      <c r="AK22" s="22" t="s">
        <v>31</v>
      </c>
    </row>
    <row r="23" spans="1:37" s="5" customFormat="1">
      <c r="A23" s="14" t="s">
        <v>30</v>
      </c>
      <c r="B23" s="15" t="s">
        <v>32</v>
      </c>
      <c r="C23" s="15" t="s">
        <v>24</v>
      </c>
      <c r="D23" s="14" t="s">
        <v>25</v>
      </c>
      <c r="E23" s="14">
        <v>6</v>
      </c>
      <c r="F23" s="1">
        <v>51.747</v>
      </c>
      <c r="G23" s="1">
        <v>0.98</v>
      </c>
      <c r="H23" s="1">
        <v>3.0209999999999999</v>
      </c>
      <c r="I23" s="1">
        <v>0.12</v>
      </c>
      <c r="J23" s="1">
        <v>6.7240000000000002</v>
      </c>
      <c r="K23" s="1">
        <v>9.1999999999999998E-2</v>
      </c>
      <c r="L23" s="1">
        <v>15.087</v>
      </c>
      <c r="M23" s="1">
        <v>21.681000000000001</v>
      </c>
      <c r="N23" s="1">
        <v>0.43099999999999999</v>
      </c>
      <c r="O23" s="1">
        <v>0</v>
      </c>
      <c r="P23" s="4"/>
      <c r="Q23" s="12">
        <v>4.5999999999999999E-2</v>
      </c>
      <c r="R23" s="9">
        <v>1.9127169282282099</v>
      </c>
      <c r="S23" s="9">
        <v>2.72379704893237E-2</v>
      </c>
      <c r="T23" s="9">
        <v>0.13159710724843901</v>
      </c>
      <c r="U23" s="9">
        <v>3.50641327942583E-3</v>
      </c>
      <c r="V23" s="9">
        <v>0.207824326108247</v>
      </c>
      <c r="W23" s="9">
        <v>0.85855229428994095</v>
      </c>
      <c r="X23" s="9">
        <v>0.83136797831865406</v>
      </c>
      <c r="Y23" s="9">
        <v>2.8799973745119601E-3</v>
      </c>
      <c r="Z23" s="9">
        <v>1.36769991798017E-3</v>
      </c>
      <c r="AA23" s="9">
        <v>0</v>
      </c>
      <c r="AB23" s="9">
        <v>3.0885251527609001E-2</v>
      </c>
      <c r="AC23" s="16"/>
      <c r="AD23" s="11">
        <v>80.001360169534806</v>
      </c>
      <c r="AE23" s="27">
        <v>8.7283071771790066E-2</v>
      </c>
      <c r="AF23" s="28">
        <v>1.1207048953840018E-2</v>
      </c>
      <c r="AG23" s="2">
        <v>33.938645980253902</v>
      </c>
      <c r="AH23" s="26">
        <v>153.18023681640619</v>
      </c>
      <c r="AI23" s="29">
        <v>1.3668204488740101</v>
      </c>
      <c r="AJ23" s="3">
        <v>-1</v>
      </c>
      <c r="AK23" s="22" t="s">
        <v>31</v>
      </c>
    </row>
    <row r="24" spans="1:37" s="5" customFormat="1">
      <c r="A24" s="14" t="s">
        <v>30</v>
      </c>
      <c r="B24" s="15" t="s">
        <v>32</v>
      </c>
      <c r="C24" s="15" t="s">
        <v>24</v>
      </c>
      <c r="D24" s="14" t="s">
        <v>25</v>
      </c>
      <c r="E24" s="14">
        <v>7</v>
      </c>
      <c r="F24" s="1">
        <v>51.527000000000001</v>
      </c>
      <c r="G24" s="1">
        <v>1.06</v>
      </c>
      <c r="H24" s="1">
        <v>2.8279999999999998</v>
      </c>
      <c r="I24" s="1">
        <v>3.5999999999999997E-2</v>
      </c>
      <c r="J24" s="1">
        <v>6.6440000000000001</v>
      </c>
      <c r="K24" s="1">
        <v>0.15</v>
      </c>
      <c r="L24" s="1">
        <v>15.326000000000001</v>
      </c>
      <c r="M24" s="1">
        <v>21.033000000000001</v>
      </c>
      <c r="N24" s="1">
        <v>0.34300000000000003</v>
      </c>
      <c r="O24" s="1">
        <v>1.2E-2</v>
      </c>
      <c r="P24" s="4"/>
      <c r="Q24" s="12">
        <v>4.5999999999999999E-2</v>
      </c>
      <c r="R24" s="9">
        <v>1.91869601734063</v>
      </c>
      <c r="S24" s="9">
        <v>2.9679756002651301E-2</v>
      </c>
      <c r="T24" s="9">
        <v>0.124102581164687</v>
      </c>
      <c r="U24" s="9">
        <v>1.0597176038483901E-3</v>
      </c>
      <c r="V24" s="9">
        <v>0.20687313297673501</v>
      </c>
      <c r="W24" s="9">
        <v>0.83906278109272603</v>
      </c>
      <c r="X24" s="9">
        <v>0.850795169382487</v>
      </c>
      <c r="Y24" s="9">
        <v>4.7304375700402699E-3</v>
      </c>
      <c r="Z24" s="9">
        <v>1.3778330964482699E-3</v>
      </c>
      <c r="AA24" s="9">
        <v>5.6998257531831297E-4</v>
      </c>
      <c r="AB24" s="9">
        <v>2.4761319509088799E-2</v>
      </c>
      <c r="AC24" s="16"/>
      <c r="AD24" s="11">
        <v>80.440641691229104</v>
      </c>
      <c r="AE24" s="27">
        <v>8.130398265937E-2</v>
      </c>
      <c r="AF24" s="28">
        <v>1.09920071414533E-2</v>
      </c>
      <c r="AG24" s="2">
        <v>14.9858956276446</v>
      </c>
      <c r="AH24" s="26">
        <v>165.08349609375</v>
      </c>
      <c r="AI24" s="29">
        <v>1.501850335151107</v>
      </c>
      <c r="AJ24" s="3">
        <v>-1</v>
      </c>
      <c r="AK24" s="22" t="s">
        <v>31</v>
      </c>
    </row>
    <row r="25" spans="1:37" s="5" customFormat="1">
      <c r="A25" s="14" t="s">
        <v>30</v>
      </c>
      <c r="B25" s="15" t="s">
        <v>32</v>
      </c>
      <c r="C25" s="15" t="s">
        <v>24</v>
      </c>
      <c r="D25" s="14" t="s">
        <v>25</v>
      </c>
      <c r="E25" s="14">
        <v>25</v>
      </c>
      <c r="F25" s="1">
        <v>52.31</v>
      </c>
      <c r="G25" s="1">
        <v>0.92200000000000004</v>
      </c>
      <c r="H25" s="1">
        <v>2.7949999999999999</v>
      </c>
      <c r="I25" s="1">
        <v>0.161</v>
      </c>
      <c r="J25" s="1">
        <v>6.6120000000000001</v>
      </c>
      <c r="K25" s="1">
        <v>8.6999999999999994E-2</v>
      </c>
      <c r="L25" s="1">
        <v>15.428000000000001</v>
      </c>
      <c r="M25" s="1">
        <v>21.315999999999999</v>
      </c>
      <c r="N25" s="1">
        <v>0.38400000000000001</v>
      </c>
      <c r="O25" s="1">
        <v>1.0999999999999999E-2</v>
      </c>
      <c r="P25" s="4"/>
      <c r="Q25" s="12">
        <v>2.5999999999999999E-2</v>
      </c>
      <c r="R25" s="9">
        <v>1.9257835913880901</v>
      </c>
      <c r="S25" s="9">
        <v>2.5523300147285499E-2</v>
      </c>
      <c r="T25" s="9">
        <v>0.121264775488109</v>
      </c>
      <c r="U25" s="9">
        <v>4.6855973964588698E-3</v>
      </c>
      <c r="V25" s="9">
        <v>0.203544212527768</v>
      </c>
      <c r="W25" s="9">
        <v>0.84071809037463296</v>
      </c>
      <c r="X25" s="9">
        <v>0.84675402556526802</v>
      </c>
      <c r="Y25" s="9">
        <v>2.7125687515988598E-3</v>
      </c>
      <c r="Z25" s="9">
        <v>7.69951863595427E-4</v>
      </c>
      <c r="AA25" s="9">
        <v>5.1656438968754402E-4</v>
      </c>
      <c r="AB25" s="9">
        <v>2.7407052649373102E-2</v>
      </c>
      <c r="AC25" s="16"/>
      <c r="AD25" s="11">
        <v>80.620341428227903</v>
      </c>
      <c r="AE25" s="27">
        <v>7.4216408611909923E-2</v>
      </c>
      <c r="AF25" s="28">
        <v>1.0479739739684102E-2</v>
      </c>
      <c r="AG25" s="2">
        <v>18.805829807240201</v>
      </c>
      <c r="AH25" s="26">
        <v>162.2608642578125</v>
      </c>
      <c r="AI25" s="29">
        <v>1.5483291406882176</v>
      </c>
      <c r="AJ25" s="3">
        <v>-1</v>
      </c>
      <c r="AK25" s="22" t="s">
        <v>31</v>
      </c>
    </row>
    <row r="26" spans="1:37" s="5" customFormat="1">
      <c r="A26" s="14" t="s">
        <v>30</v>
      </c>
      <c r="B26" s="15" t="s">
        <v>32</v>
      </c>
      <c r="C26" s="15" t="s">
        <v>24</v>
      </c>
      <c r="D26" s="14" t="s">
        <v>25</v>
      </c>
      <c r="E26" s="14">
        <v>26</v>
      </c>
      <c r="F26" s="1">
        <v>51.695999999999998</v>
      </c>
      <c r="G26" s="1">
        <v>1.0680000000000001</v>
      </c>
      <c r="H26" s="1">
        <v>2.9350000000000001</v>
      </c>
      <c r="I26" s="1">
        <v>0.14499999999999999</v>
      </c>
      <c r="J26" s="1">
        <v>6.5140000000000002</v>
      </c>
      <c r="K26" s="1">
        <v>0.104</v>
      </c>
      <c r="L26" s="1">
        <v>14.939</v>
      </c>
      <c r="M26" s="1">
        <v>21.573</v>
      </c>
      <c r="N26" s="1">
        <v>0.41399999999999998</v>
      </c>
      <c r="O26" s="1">
        <v>0</v>
      </c>
      <c r="P26" s="4"/>
      <c r="Q26" s="12">
        <v>3.9E-2</v>
      </c>
      <c r="R26" s="9">
        <v>1.91810995064571</v>
      </c>
      <c r="S26" s="9">
        <v>2.9796891190870901E-2</v>
      </c>
      <c r="T26" s="9">
        <v>0.128337849021573</v>
      </c>
      <c r="U26" s="9">
        <v>4.2530539484998296E-3</v>
      </c>
      <c r="V26" s="9">
        <v>0.202100535114834</v>
      </c>
      <c r="W26" s="9">
        <v>0.85752940321154603</v>
      </c>
      <c r="X26" s="9">
        <v>0.82634796666117305</v>
      </c>
      <c r="Y26" s="9">
        <v>3.2680495813793798E-3</v>
      </c>
      <c r="Z26" s="9">
        <v>1.1639883383136301E-3</v>
      </c>
      <c r="AA26" s="9">
        <v>0</v>
      </c>
      <c r="AB26" s="9">
        <v>2.97800379289423E-2</v>
      </c>
      <c r="AC26" s="16"/>
      <c r="AD26" s="11">
        <v>80.348988328941005</v>
      </c>
      <c r="AE26" s="27">
        <v>8.1890049354290007E-2</v>
      </c>
      <c r="AF26" s="28">
        <v>1.0832070195958776E-2</v>
      </c>
      <c r="AG26" s="2">
        <v>12.6939351198872</v>
      </c>
      <c r="AH26" s="26">
        <v>156.0851135253906</v>
      </c>
      <c r="AI26" s="29">
        <v>1.4409536746135818</v>
      </c>
      <c r="AJ26" s="3">
        <v>-1</v>
      </c>
      <c r="AK26" s="22" t="s">
        <v>31</v>
      </c>
    </row>
    <row r="27" spans="1:37" s="5" customFormat="1">
      <c r="A27" s="14" t="s">
        <v>30</v>
      </c>
      <c r="B27" s="15" t="s">
        <v>32</v>
      </c>
      <c r="C27" s="15" t="s">
        <v>24</v>
      </c>
      <c r="D27" s="14" t="s">
        <v>25</v>
      </c>
      <c r="E27" s="14">
        <v>30</v>
      </c>
      <c r="F27" s="1">
        <v>51.424999999999997</v>
      </c>
      <c r="G27" s="1">
        <v>1.0329999999999999</v>
      </c>
      <c r="H27" s="1">
        <v>2.5649999999999999</v>
      </c>
      <c r="I27" s="1">
        <v>0.186</v>
      </c>
      <c r="J27" s="1">
        <v>6.5</v>
      </c>
      <c r="K27" s="1">
        <v>0.14000000000000001</v>
      </c>
      <c r="L27" s="1">
        <v>15.256</v>
      </c>
      <c r="M27" s="1">
        <v>21.936</v>
      </c>
      <c r="N27" s="1">
        <v>0.35899999999999999</v>
      </c>
      <c r="O27" s="1">
        <v>0</v>
      </c>
      <c r="P27" s="4"/>
      <c r="Q27" s="12">
        <v>6.9000000000000006E-2</v>
      </c>
      <c r="R27" s="9">
        <v>1.91218179000696</v>
      </c>
      <c r="S27" s="9">
        <v>2.8882736879474999E-2</v>
      </c>
      <c r="T27" s="9">
        <v>0.112401560311575</v>
      </c>
      <c r="U27" s="9">
        <v>5.4674416092707796E-3</v>
      </c>
      <c r="V27" s="9">
        <v>0.202102360426797</v>
      </c>
      <c r="W27" s="9">
        <v>0.87384465497764796</v>
      </c>
      <c r="X27" s="9">
        <v>0.84570799361224402</v>
      </c>
      <c r="Y27" s="9">
        <v>4.4088127421507998E-3</v>
      </c>
      <c r="Z27" s="9">
        <v>2.0638181759887798E-3</v>
      </c>
      <c r="AA27" s="9">
        <v>0</v>
      </c>
      <c r="AB27" s="9">
        <v>2.5879606822066099E-2</v>
      </c>
      <c r="AC27" s="16"/>
      <c r="AD27" s="11">
        <v>80.711933257030296</v>
      </c>
      <c r="AE27" s="27">
        <v>8.781820999304002E-2</v>
      </c>
      <c r="AF27" s="28">
        <v>1.1075428312067663E-2</v>
      </c>
      <c r="AG27" s="2">
        <v>10.6851305722956</v>
      </c>
      <c r="AH27" s="26">
        <v>235.61083984375</v>
      </c>
      <c r="AI27" s="29">
        <v>2.1273293745852797</v>
      </c>
      <c r="AJ27" s="3">
        <v>-1</v>
      </c>
      <c r="AK27" s="22" t="s">
        <v>31</v>
      </c>
    </row>
    <row r="28" spans="1:37" s="5" customFormat="1">
      <c r="A28" s="14" t="s">
        <v>30</v>
      </c>
      <c r="B28" s="15" t="s">
        <v>32</v>
      </c>
      <c r="C28" s="15" t="s">
        <v>24</v>
      </c>
      <c r="D28" s="14" t="s">
        <v>25</v>
      </c>
      <c r="E28" s="14">
        <v>30.2</v>
      </c>
      <c r="F28" s="1">
        <v>51.48</v>
      </c>
      <c r="G28" s="1">
        <v>1.0740000000000001</v>
      </c>
      <c r="H28" s="1">
        <v>2.617</v>
      </c>
      <c r="I28" s="1">
        <v>0.17599999999999999</v>
      </c>
      <c r="J28" s="1">
        <v>6.5529999999999999</v>
      </c>
      <c r="K28" s="1">
        <v>9.0999999999999998E-2</v>
      </c>
      <c r="L28" s="1">
        <v>15.099</v>
      </c>
      <c r="M28" s="1">
        <v>22.001000000000001</v>
      </c>
      <c r="N28" s="1">
        <v>0.313</v>
      </c>
      <c r="O28" s="1">
        <v>7.0000000000000001E-3</v>
      </c>
      <c r="P28" s="4"/>
      <c r="Q28" s="12">
        <v>0</v>
      </c>
      <c r="R28" s="9">
        <v>1.9142922390282899</v>
      </c>
      <c r="S28" s="9">
        <v>3.0030124065377001E-2</v>
      </c>
      <c r="T28" s="9">
        <v>0.11468418057944001</v>
      </c>
      <c r="U28" s="9">
        <v>5.1736697130373198E-3</v>
      </c>
      <c r="V28" s="9">
        <v>0.20375722621659301</v>
      </c>
      <c r="W28" s="9">
        <v>0.876463915094567</v>
      </c>
      <c r="X28" s="9">
        <v>0.83703335266515799</v>
      </c>
      <c r="Y28" s="9">
        <v>2.8658260930624901E-3</v>
      </c>
      <c r="Z28" s="9">
        <v>0</v>
      </c>
      <c r="AA28" s="9">
        <v>3.3202956564078499E-4</v>
      </c>
      <c r="AB28" s="9">
        <v>2.2564327043498599E-2</v>
      </c>
      <c r="AC28" s="16"/>
      <c r="AD28" s="11">
        <v>80.422841025759993</v>
      </c>
      <c r="AE28" s="27">
        <v>8.5707760971710067E-2</v>
      </c>
      <c r="AF28" s="28">
        <v>1.0895957078523514E-2</v>
      </c>
      <c r="AG28" s="2">
        <v>11.539941018079199</v>
      </c>
      <c r="AH28" s="26">
        <v>271.4058837890625</v>
      </c>
      <c r="AI28" s="29">
        <v>2.4908861317379576</v>
      </c>
      <c r="AJ28" s="3">
        <v>-1</v>
      </c>
      <c r="AK28" s="22" t="s">
        <v>31</v>
      </c>
    </row>
    <row r="29" spans="1:37" s="5" customFormat="1">
      <c r="A29" s="14" t="s">
        <v>30</v>
      </c>
      <c r="B29" s="15" t="s">
        <v>32</v>
      </c>
      <c r="C29" s="15" t="s">
        <v>24</v>
      </c>
      <c r="D29" s="14" t="s">
        <v>25</v>
      </c>
      <c r="E29" s="14">
        <v>36</v>
      </c>
      <c r="F29" s="1">
        <v>52.167999999999999</v>
      </c>
      <c r="G29" s="1">
        <v>0.73799999999999999</v>
      </c>
      <c r="H29" s="1">
        <v>3.7320000000000002</v>
      </c>
      <c r="I29" s="1">
        <v>0.38100000000000001</v>
      </c>
      <c r="J29" s="1">
        <v>7.1820000000000004</v>
      </c>
      <c r="K29" s="1">
        <v>0.10199999999999999</v>
      </c>
      <c r="L29" s="1">
        <v>16.599</v>
      </c>
      <c r="M29" s="1">
        <v>18.882999999999999</v>
      </c>
      <c r="N29" s="1">
        <v>0.49</v>
      </c>
      <c r="O29" s="1">
        <v>2E-3</v>
      </c>
      <c r="P29" s="4"/>
      <c r="Q29" s="12">
        <v>5.8999999999999997E-2</v>
      </c>
      <c r="R29" s="9">
        <v>1.9075797697508401</v>
      </c>
      <c r="S29" s="9">
        <v>2.0291681048695599E-2</v>
      </c>
      <c r="T29" s="9">
        <v>0.16082377377735599</v>
      </c>
      <c r="U29" s="9">
        <v>1.1013359815224E-2</v>
      </c>
      <c r="V29" s="9">
        <v>0.21959733896855599</v>
      </c>
      <c r="W29" s="9">
        <v>0.73972693572860604</v>
      </c>
      <c r="X29" s="9">
        <v>0.904868195068528</v>
      </c>
      <c r="Y29" s="9">
        <v>3.1587658376646299E-3</v>
      </c>
      <c r="Z29" s="9">
        <v>1.7353936221233099E-3</v>
      </c>
      <c r="AA29" s="9">
        <v>9.32862281020476E-5</v>
      </c>
      <c r="AB29" s="9">
        <v>3.4736251345065403E-2</v>
      </c>
      <c r="AC29" s="16"/>
      <c r="AD29" s="11">
        <v>80.470958662454294</v>
      </c>
      <c r="AE29" s="27">
        <v>9.2420230249159907E-2</v>
      </c>
      <c r="AF29" s="28">
        <v>1.30496307698855E-2</v>
      </c>
      <c r="AG29" s="2">
        <v>34.278980914463197</v>
      </c>
      <c r="AH29" s="26">
        <v>152.53504943847659</v>
      </c>
      <c r="AI29" s="29">
        <v>1.1688840253662975</v>
      </c>
      <c r="AJ29" s="3">
        <v>-1</v>
      </c>
      <c r="AK29" s="22" t="s">
        <v>31</v>
      </c>
    </row>
    <row r="30" spans="1:37" s="5" customFormat="1">
      <c r="A30" s="14" t="s">
        <v>30</v>
      </c>
      <c r="B30" s="15" t="s">
        <v>32</v>
      </c>
      <c r="C30" s="15" t="s">
        <v>24</v>
      </c>
      <c r="D30" s="14" t="s">
        <v>25</v>
      </c>
      <c r="E30" s="14">
        <v>40</v>
      </c>
      <c r="F30" s="1">
        <v>52.378</v>
      </c>
      <c r="G30" s="1">
        <v>0.82</v>
      </c>
      <c r="H30" s="1">
        <v>2.8149999999999999</v>
      </c>
      <c r="I30" s="1">
        <v>0.188</v>
      </c>
      <c r="J30" s="1">
        <v>6.7409999999999997</v>
      </c>
      <c r="K30" s="1">
        <v>9.1999999999999998E-2</v>
      </c>
      <c r="L30" s="1">
        <v>15.648999999999999</v>
      </c>
      <c r="M30" s="1">
        <v>20.728999999999999</v>
      </c>
      <c r="N30" s="1">
        <v>0.435</v>
      </c>
      <c r="O30" s="1">
        <v>6.0000000000000001E-3</v>
      </c>
      <c r="P30" s="4"/>
      <c r="Q30" s="12">
        <v>5.8999999999999997E-2</v>
      </c>
      <c r="R30" s="9">
        <v>1.92905075919041</v>
      </c>
      <c r="S30" s="9">
        <v>2.270867219185E-2</v>
      </c>
      <c r="T30" s="9">
        <v>0.122180876440848</v>
      </c>
      <c r="U30" s="9">
        <v>5.4735479256774302E-3</v>
      </c>
      <c r="V30" s="9">
        <v>0.20759754949668799</v>
      </c>
      <c r="W30" s="9">
        <v>0.81789021916865801</v>
      </c>
      <c r="X30" s="9">
        <v>0.85922363037305105</v>
      </c>
      <c r="Y30" s="9">
        <v>2.8695996539131502E-3</v>
      </c>
      <c r="Z30" s="9">
        <v>1.74789049338241E-3</v>
      </c>
      <c r="AA30" s="9">
        <v>2.8187399535945602E-4</v>
      </c>
      <c r="AB30" s="9">
        <v>3.1059349004636999E-2</v>
      </c>
      <c r="AC30" s="16"/>
      <c r="AD30" s="11">
        <v>80.540548555472498</v>
      </c>
      <c r="AE30" s="27">
        <v>7.0949240809589975E-2</v>
      </c>
      <c r="AF30" s="28">
        <v>1.0496429220382315E-2</v>
      </c>
      <c r="AG30" s="2">
        <v>30.163806225474399</v>
      </c>
      <c r="AH30" s="26">
        <v>170.83760070800781</v>
      </c>
      <c r="AI30" s="29">
        <v>1.6275782661047216</v>
      </c>
      <c r="AJ30" s="3">
        <v>-1</v>
      </c>
      <c r="AK30" s="22" t="s">
        <v>31</v>
      </c>
    </row>
    <row r="31" spans="1:37" s="5" customFormat="1">
      <c r="A31" s="14" t="s">
        <v>30</v>
      </c>
      <c r="B31" s="15" t="s">
        <v>32</v>
      </c>
      <c r="C31" s="15" t="s">
        <v>24</v>
      </c>
      <c r="D31" s="14" t="s">
        <v>25</v>
      </c>
      <c r="E31" s="14">
        <v>13.1</v>
      </c>
      <c r="F31" s="1">
        <v>52.082000000000001</v>
      </c>
      <c r="G31" s="1">
        <v>0.96099999999999997</v>
      </c>
      <c r="H31" s="1">
        <v>2.6059999999999999</v>
      </c>
      <c r="I31" s="1">
        <v>0.186</v>
      </c>
      <c r="J31" s="1">
        <v>6.6980000000000004</v>
      </c>
      <c r="K31" s="1">
        <v>0.09</v>
      </c>
      <c r="L31" s="1">
        <v>15.042999999999999</v>
      </c>
      <c r="M31" s="1">
        <v>21.696999999999999</v>
      </c>
      <c r="N31" s="1">
        <v>0.372</v>
      </c>
      <c r="O31" s="1">
        <v>0</v>
      </c>
      <c r="P31" s="4"/>
      <c r="Q31" s="12">
        <v>1.0999999999999999E-2</v>
      </c>
      <c r="R31" s="9">
        <v>1.92713154336554</v>
      </c>
      <c r="S31" s="9">
        <v>2.6738081280104901E-2</v>
      </c>
      <c r="T31" s="9">
        <v>0.113639211339018</v>
      </c>
      <c r="U31" s="9">
        <v>5.4406774896783904E-3</v>
      </c>
      <c r="V31" s="9">
        <v>0.20723924504948399</v>
      </c>
      <c r="W31" s="9">
        <v>0.86009280535390598</v>
      </c>
      <c r="X31" s="9">
        <v>0.82981836125158503</v>
      </c>
      <c r="Y31" s="9">
        <v>2.8203626591455601E-3</v>
      </c>
      <c r="Z31" s="9">
        <v>3.2740390613612499E-4</v>
      </c>
      <c r="AA31" s="9">
        <v>0</v>
      </c>
      <c r="AB31" s="9">
        <v>2.66854784908395E-2</v>
      </c>
      <c r="AC31" s="16"/>
      <c r="AD31" s="11">
        <v>80.016612019398295</v>
      </c>
      <c r="AE31" s="27">
        <v>7.2868456634459955E-2</v>
      </c>
      <c r="AF31" s="28">
        <v>1.0188987108478535E-2</v>
      </c>
      <c r="AG31" s="2">
        <v>26.302748446612998</v>
      </c>
      <c r="AH31" s="26">
        <v>147.88725280761719</v>
      </c>
      <c r="AI31" s="29">
        <v>1.4514421427087305</v>
      </c>
      <c r="AJ31" s="3">
        <v>-1</v>
      </c>
      <c r="AK31" s="22" t="s">
        <v>31</v>
      </c>
    </row>
    <row r="32" spans="1:37" s="5" customFormat="1">
      <c r="A32" s="14" t="s">
        <v>30</v>
      </c>
      <c r="B32" s="15" t="s">
        <v>32</v>
      </c>
      <c r="C32" s="15" t="s">
        <v>24</v>
      </c>
      <c r="D32" s="14" t="s">
        <v>25</v>
      </c>
      <c r="E32" s="14">
        <v>14.4</v>
      </c>
      <c r="F32" s="1">
        <v>50.210999999999999</v>
      </c>
      <c r="G32" s="1">
        <v>1.32</v>
      </c>
      <c r="H32" s="1">
        <v>4.1289999999999996</v>
      </c>
      <c r="I32" s="1">
        <v>0.27600000000000002</v>
      </c>
      <c r="J32" s="1">
        <v>6.343</v>
      </c>
      <c r="K32" s="1">
        <v>0.10100000000000001</v>
      </c>
      <c r="L32" s="1">
        <v>14.481999999999999</v>
      </c>
      <c r="M32" s="1">
        <v>21.817</v>
      </c>
      <c r="N32" s="1">
        <v>0.44900000000000001</v>
      </c>
      <c r="O32" s="1">
        <v>0</v>
      </c>
      <c r="P32" s="4"/>
      <c r="Q32" s="12">
        <v>4.7E-2</v>
      </c>
      <c r="R32" s="9">
        <v>1.8728560611924601</v>
      </c>
      <c r="S32" s="9">
        <v>3.7022232672865099E-2</v>
      </c>
      <c r="T32" s="9">
        <v>0.181501620014833</v>
      </c>
      <c r="U32" s="9">
        <v>8.1382484429335204E-3</v>
      </c>
      <c r="V32" s="9">
        <v>0.19783512099422501</v>
      </c>
      <c r="W32" s="9">
        <v>0.87181127357143295</v>
      </c>
      <c r="X32" s="9">
        <v>0.80530232137976099</v>
      </c>
      <c r="Y32" s="9">
        <v>3.1905506514975702E-3</v>
      </c>
      <c r="Z32" s="9">
        <v>1.4101679908917501E-3</v>
      </c>
      <c r="AA32" s="9">
        <v>0</v>
      </c>
      <c r="AB32" s="9">
        <v>3.2468349989789001E-2</v>
      </c>
      <c r="AC32" s="16"/>
      <c r="AD32" s="11">
        <v>80.278363398934005</v>
      </c>
      <c r="AE32" s="27">
        <v>0.12714393880753994</v>
      </c>
      <c r="AF32" s="28">
        <v>1.4330349166449187E-2</v>
      </c>
      <c r="AG32" s="2">
        <v>25.755810388176901</v>
      </c>
      <c r="AH32" s="26">
        <v>304.58551025390619</v>
      </c>
      <c r="AI32" s="29">
        <v>2.1254577032010813</v>
      </c>
      <c r="AJ32" s="3">
        <v>-1</v>
      </c>
      <c r="AK32" s="22" t="s">
        <v>31</v>
      </c>
    </row>
    <row r="33" spans="1:37" s="5" customFormat="1">
      <c r="A33" s="14" t="s">
        <v>30</v>
      </c>
      <c r="B33" s="15" t="s">
        <v>32</v>
      </c>
      <c r="C33" s="15" t="s">
        <v>24</v>
      </c>
      <c r="D33" s="14" t="s">
        <v>25</v>
      </c>
      <c r="E33" s="14">
        <v>27</v>
      </c>
      <c r="F33" s="1">
        <v>52.262</v>
      </c>
      <c r="G33" s="1">
        <v>0.874</v>
      </c>
      <c r="H33" s="1">
        <v>2.8039999999999998</v>
      </c>
      <c r="I33" s="1">
        <v>0.14000000000000001</v>
      </c>
      <c r="J33" s="1">
        <v>6.7450000000000001</v>
      </c>
      <c r="K33" s="1">
        <v>0.10199999999999999</v>
      </c>
      <c r="L33" s="1">
        <v>15.617000000000001</v>
      </c>
      <c r="M33" s="1">
        <v>20.498000000000001</v>
      </c>
      <c r="N33" s="1">
        <v>0.443</v>
      </c>
      <c r="O33" s="1">
        <v>0.01</v>
      </c>
      <c r="P33" s="4"/>
      <c r="Q33" s="12">
        <v>8.4000000000000005E-2</v>
      </c>
      <c r="R33" s="9">
        <v>1.9304676510793399</v>
      </c>
      <c r="S33" s="9">
        <v>2.42756619018108E-2</v>
      </c>
      <c r="T33" s="9">
        <v>0.12206315893200199</v>
      </c>
      <c r="U33" s="9">
        <v>4.08809397256498E-3</v>
      </c>
      <c r="V33" s="9">
        <v>0.20833469850047301</v>
      </c>
      <c r="W33" s="9">
        <v>0.81116632094105401</v>
      </c>
      <c r="X33" s="9">
        <v>0.86000106899780104</v>
      </c>
      <c r="Y33" s="9">
        <v>3.1909163151278498E-3</v>
      </c>
      <c r="Z33" s="9">
        <v>2.4958774286914301E-3</v>
      </c>
      <c r="AA33" s="9">
        <v>4.7117855916733098E-4</v>
      </c>
      <c r="AB33" s="9">
        <v>3.1724046436250798E-2</v>
      </c>
      <c r="AC33" s="16"/>
      <c r="AD33" s="11">
        <v>80.499136616165998</v>
      </c>
      <c r="AE33" s="27">
        <v>6.953234892066007E-2</v>
      </c>
      <c r="AF33" s="28">
        <v>1.0470368562453324E-2</v>
      </c>
      <c r="AG33" s="2">
        <v>14.6982406651325</v>
      </c>
      <c r="AH33" s="26">
        <v>172.08355712890619</v>
      </c>
      <c r="AI33" s="29">
        <v>1.6435291279620925</v>
      </c>
      <c r="AJ33" s="3">
        <v>-1</v>
      </c>
      <c r="AK33" s="22" t="s">
        <v>31</v>
      </c>
    </row>
    <row r="34" spans="1:37" s="5" customFormat="1">
      <c r="A34" s="14" t="s">
        <v>30</v>
      </c>
      <c r="B34" s="15" t="s">
        <v>32</v>
      </c>
      <c r="C34" s="15" t="s">
        <v>24</v>
      </c>
      <c r="D34" s="14" t="s">
        <v>25</v>
      </c>
      <c r="E34" s="14">
        <v>33</v>
      </c>
      <c r="F34" s="1">
        <v>52.19</v>
      </c>
      <c r="G34" s="1">
        <v>0.71599999999999997</v>
      </c>
      <c r="H34" s="1">
        <v>2.915</v>
      </c>
      <c r="I34" s="1">
        <v>0.17100000000000001</v>
      </c>
      <c r="J34" s="1">
        <v>6.8769999999999998</v>
      </c>
      <c r="K34" s="1">
        <v>9.1999999999999998E-2</v>
      </c>
      <c r="L34" s="1">
        <v>15.503</v>
      </c>
      <c r="M34" s="1">
        <v>20.504000000000001</v>
      </c>
      <c r="N34" s="1">
        <v>0.433</v>
      </c>
      <c r="O34" s="1">
        <v>2E-3</v>
      </c>
      <c r="P34" s="4"/>
      <c r="Q34" s="12">
        <v>0</v>
      </c>
      <c r="R34" s="9">
        <v>1.93128721783369</v>
      </c>
      <c r="S34" s="9">
        <v>1.9923045934735099E-2</v>
      </c>
      <c r="T34" s="9">
        <v>0.12712419658739699</v>
      </c>
      <c r="U34" s="9">
        <v>5.0023262331243103E-3</v>
      </c>
      <c r="V34" s="9">
        <v>0.212795159701204</v>
      </c>
      <c r="W34" s="9">
        <v>0.81286810179094005</v>
      </c>
      <c r="X34" s="9">
        <v>0.85526400432452399</v>
      </c>
      <c r="Y34" s="9">
        <v>2.8832754656356601E-3</v>
      </c>
      <c r="Z34" s="9">
        <v>0</v>
      </c>
      <c r="AA34" s="9">
        <v>9.4405779346530997E-5</v>
      </c>
      <c r="AB34" s="9">
        <v>3.1063888120796301E-2</v>
      </c>
      <c r="AC34" s="16"/>
      <c r="AD34" s="11">
        <v>80.076463283256999</v>
      </c>
      <c r="AE34" s="27">
        <v>6.8712782166310049E-2</v>
      </c>
      <c r="AF34" s="28">
        <v>1.0397030757245006E-2</v>
      </c>
      <c r="AG34" s="2">
        <v>3.5858573784991998</v>
      </c>
      <c r="AH34" s="26">
        <v>177.2888488769531</v>
      </c>
      <c r="AI34" s="29">
        <v>1.7051873079572468</v>
      </c>
      <c r="AJ34" s="3">
        <v>-1</v>
      </c>
      <c r="AK34" s="22" t="s">
        <v>31</v>
      </c>
    </row>
    <row r="35" spans="1:37" s="5" customFormat="1">
      <c r="A35" s="14" t="s">
        <v>30</v>
      </c>
      <c r="B35" s="15" t="s">
        <v>32</v>
      </c>
      <c r="C35" s="15" t="s">
        <v>24</v>
      </c>
      <c r="D35" s="14" t="s">
        <v>25</v>
      </c>
      <c r="E35" s="14">
        <v>2</v>
      </c>
      <c r="F35" s="1">
        <v>51.564</v>
      </c>
      <c r="G35" s="1">
        <v>1.1000000000000001</v>
      </c>
      <c r="H35" s="1">
        <v>3.181</v>
      </c>
      <c r="I35" s="1">
        <v>0.17599999999999999</v>
      </c>
      <c r="J35" s="1">
        <v>6.681</v>
      </c>
      <c r="K35" s="1">
        <v>0.112</v>
      </c>
      <c r="L35" s="1">
        <v>15.071999999999999</v>
      </c>
      <c r="M35" s="1">
        <v>21.780999999999999</v>
      </c>
      <c r="N35" s="1">
        <v>0.32300000000000001</v>
      </c>
      <c r="O35" s="1">
        <v>0</v>
      </c>
      <c r="P35" s="4"/>
      <c r="Q35" s="12">
        <v>4.5999999999999999E-2</v>
      </c>
      <c r="R35" s="9">
        <v>1.9044888133331299</v>
      </c>
      <c r="S35" s="9">
        <v>3.0549749686031202E-2</v>
      </c>
      <c r="T35" s="9">
        <v>0.13846040202443199</v>
      </c>
      <c r="U35" s="9">
        <v>5.13878947350293E-3</v>
      </c>
      <c r="V35" s="9">
        <v>0.206336685322006</v>
      </c>
      <c r="W35" s="9">
        <v>0.86184975073149495</v>
      </c>
      <c r="X35" s="9">
        <v>0.82990348745098497</v>
      </c>
      <c r="Y35" s="9">
        <v>3.5033908295147701E-3</v>
      </c>
      <c r="Z35" s="9">
        <v>1.3666494236302699E-3</v>
      </c>
      <c r="AA35" s="9">
        <v>0</v>
      </c>
      <c r="AB35" s="9">
        <v>2.3128245914288699E-2</v>
      </c>
      <c r="AC35" s="16"/>
      <c r="AD35" s="11">
        <v>80.087947683996205</v>
      </c>
      <c r="AE35" s="27">
        <v>9.5511186666870085E-2</v>
      </c>
      <c r="AF35" s="28">
        <v>1.1783829868843972E-2</v>
      </c>
      <c r="AG35" s="2">
        <v>30.282917116070699</v>
      </c>
      <c r="AH35" s="26">
        <v>252.99684143066409</v>
      </c>
      <c r="AI35" s="29">
        <v>2.14698314764013</v>
      </c>
      <c r="AJ35" s="3">
        <v>-1</v>
      </c>
      <c r="AK35" s="22" t="s">
        <v>31</v>
      </c>
    </row>
    <row r="36" spans="1:37" s="5" customFormat="1">
      <c r="A36" s="14" t="s">
        <v>30</v>
      </c>
      <c r="B36" s="15" t="s">
        <v>32</v>
      </c>
      <c r="C36" s="15" t="s">
        <v>24</v>
      </c>
      <c r="D36" s="14" t="s">
        <v>25</v>
      </c>
      <c r="E36" s="14">
        <v>6</v>
      </c>
      <c r="F36" s="1">
        <v>51.814</v>
      </c>
      <c r="G36" s="1">
        <v>1.034</v>
      </c>
      <c r="H36" s="1">
        <v>2.96</v>
      </c>
      <c r="I36" s="1">
        <v>0.12</v>
      </c>
      <c r="J36" s="1">
        <v>6.3639999999999999</v>
      </c>
      <c r="K36" s="1">
        <v>7.0999999999999994E-2</v>
      </c>
      <c r="L36" s="1">
        <v>14.911</v>
      </c>
      <c r="M36" s="1">
        <v>21.581</v>
      </c>
      <c r="N36" s="1">
        <v>0.39400000000000002</v>
      </c>
      <c r="O36" s="1">
        <v>0</v>
      </c>
      <c r="P36" s="4"/>
      <c r="Q36" s="12">
        <v>8.9999999999999993E-3</v>
      </c>
      <c r="R36" s="9">
        <v>1.92285263269911</v>
      </c>
      <c r="S36" s="9">
        <v>2.8853769885000099E-2</v>
      </c>
      <c r="T36" s="9">
        <v>0.129455553034453</v>
      </c>
      <c r="U36" s="9">
        <v>3.52043603860049E-3</v>
      </c>
      <c r="V36" s="9">
        <v>0.197484130848257</v>
      </c>
      <c r="W36" s="9">
        <v>0.85801002902502799</v>
      </c>
      <c r="X36" s="9">
        <v>0.82495551171204895</v>
      </c>
      <c r="Y36" s="9">
        <v>2.2314952617573801E-3</v>
      </c>
      <c r="Z36" s="9">
        <v>2.6866361520983797E-4</v>
      </c>
      <c r="AA36" s="9">
        <v>0</v>
      </c>
      <c r="AB36" s="9">
        <v>2.8346761519805599E-2</v>
      </c>
      <c r="AC36" s="16"/>
      <c r="AD36" s="11">
        <v>80.685008422234702</v>
      </c>
      <c r="AE36" s="27">
        <v>7.7147367300890002E-2</v>
      </c>
      <c r="AF36" s="28">
        <v>1.049819289814229E-2</v>
      </c>
      <c r="AG36" s="2">
        <v>42.313117066290602</v>
      </c>
      <c r="AH36" s="26">
        <v>133.11265563964841</v>
      </c>
      <c r="AI36" s="29">
        <v>1.2679577993199516</v>
      </c>
      <c r="AJ36" s="3">
        <v>-1</v>
      </c>
      <c r="AK36" s="22" t="s">
        <v>31</v>
      </c>
    </row>
    <row r="37" spans="1:37" s="5" customFormat="1">
      <c r="A37" s="14" t="s">
        <v>30</v>
      </c>
      <c r="B37" s="15" t="s">
        <v>32</v>
      </c>
      <c r="C37" s="15" t="s">
        <v>24</v>
      </c>
      <c r="D37" s="14" t="s">
        <v>25</v>
      </c>
      <c r="E37" s="14">
        <v>12.1</v>
      </c>
      <c r="F37" s="1">
        <v>51.753999999999998</v>
      </c>
      <c r="G37" s="1">
        <v>0.90200000000000002</v>
      </c>
      <c r="H37" s="1">
        <v>2.6339999999999999</v>
      </c>
      <c r="I37" s="1">
        <v>0.157</v>
      </c>
      <c r="J37" s="1">
        <v>6.617</v>
      </c>
      <c r="K37" s="1">
        <v>9.6000000000000002E-2</v>
      </c>
      <c r="L37" s="1">
        <v>15.49</v>
      </c>
      <c r="M37" s="1">
        <v>21.172000000000001</v>
      </c>
      <c r="N37" s="1">
        <v>0.39100000000000001</v>
      </c>
      <c r="O37" s="1">
        <v>0</v>
      </c>
      <c r="P37" s="4"/>
      <c r="Q37" s="12">
        <v>3.0000000000000001E-3</v>
      </c>
      <c r="R37" s="9">
        <v>1.92301574814127</v>
      </c>
      <c r="S37" s="9">
        <v>2.5201628283033101E-2</v>
      </c>
      <c r="T37" s="9">
        <v>0.11534128428502</v>
      </c>
      <c r="U37" s="9">
        <v>4.6116347542136098E-3</v>
      </c>
      <c r="V37" s="9">
        <v>0.20559057704399999</v>
      </c>
      <c r="W37" s="9">
        <v>0.84279650058969502</v>
      </c>
      <c r="X37" s="9">
        <v>0.85805517504866902</v>
      </c>
      <c r="Y37" s="9">
        <v>3.0209872491818298E-3</v>
      </c>
      <c r="Z37" s="9">
        <v>8.9665967439148001E-5</v>
      </c>
      <c r="AA37" s="9">
        <v>0</v>
      </c>
      <c r="AB37" s="9">
        <v>2.8165925387111101E-2</v>
      </c>
      <c r="AC37" s="16"/>
      <c r="AD37" s="11">
        <v>80.671142000096296</v>
      </c>
      <c r="AE37" s="27">
        <v>7.6984251858730035E-2</v>
      </c>
      <c r="AF37" s="28">
        <v>1.0647833193799461E-2</v>
      </c>
      <c r="AG37" s="2">
        <v>32.9487386991607</v>
      </c>
      <c r="AH37" s="26">
        <v>163.75225830078119</v>
      </c>
      <c r="AI37" s="29">
        <v>1.5378927836335643</v>
      </c>
      <c r="AJ37" s="3">
        <v>-1</v>
      </c>
      <c r="AK37" s="22" t="s">
        <v>31</v>
      </c>
    </row>
    <row r="38" spans="1:37" s="5" customFormat="1">
      <c r="A38" s="14" t="s">
        <v>30</v>
      </c>
      <c r="B38" s="15" t="s">
        <v>32</v>
      </c>
      <c r="C38" s="15" t="s">
        <v>24</v>
      </c>
      <c r="D38" s="14" t="s">
        <v>25</v>
      </c>
      <c r="E38" s="14">
        <v>24.3</v>
      </c>
      <c r="F38" s="1">
        <v>51.6</v>
      </c>
      <c r="G38" s="1">
        <v>1.081</v>
      </c>
      <c r="H38" s="1">
        <v>2.4910000000000001</v>
      </c>
      <c r="I38" s="1">
        <v>8.8999999999999996E-2</v>
      </c>
      <c r="J38" s="1">
        <v>6.7050000000000001</v>
      </c>
      <c r="K38" s="1">
        <v>4.3999999999999997E-2</v>
      </c>
      <c r="L38" s="1">
        <v>15.138</v>
      </c>
      <c r="M38" s="1">
        <v>21.992999999999999</v>
      </c>
      <c r="N38" s="1">
        <v>0.41</v>
      </c>
      <c r="O38" s="1">
        <v>0</v>
      </c>
      <c r="P38" s="4"/>
      <c r="Q38" s="12">
        <v>0</v>
      </c>
      <c r="R38" s="9">
        <v>1.9169598584930301</v>
      </c>
      <c r="S38" s="9">
        <v>3.0197581063155499E-2</v>
      </c>
      <c r="T38" s="9">
        <v>0.109060412888383</v>
      </c>
      <c r="U38" s="9">
        <v>2.61378376135894E-3</v>
      </c>
      <c r="V38" s="9">
        <v>0.20828848007526399</v>
      </c>
      <c r="W38" s="9">
        <v>0.87532576175910604</v>
      </c>
      <c r="X38" s="9">
        <v>0.83841047537801505</v>
      </c>
      <c r="Y38" s="9">
        <v>1.3843781416776201E-3</v>
      </c>
      <c r="Z38" s="9">
        <v>0</v>
      </c>
      <c r="AA38" s="9">
        <v>0</v>
      </c>
      <c r="AB38" s="9">
        <v>2.95294611179194E-2</v>
      </c>
      <c r="AC38" s="16"/>
      <c r="AD38" s="11">
        <v>80.100440629076203</v>
      </c>
      <c r="AE38" s="27">
        <v>8.3040141506969922E-2</v>
      </c>
      <c r="AF38" s="28">
        <v>1.072084993003865E-2</v>
      </c>
      <c r="AG38" s="2">
        <v>49.260046733890498</v>
      </c>
      <c r="AH38" s="26">
        <v>138.31181335449219</v>
      </c>
      <c r="AI38" s="29">
        <v>1.2901198529694704</v>
      </c>
      <c r="AJ38" s="3">
        <v>-1</v>
      </c>
      <c r="AK38" s="22" t="s">
        <v>31</v>
      </c>
    </row>
    <row r="39" spans="1:37" s="5" customFormat="1">
      <c r="A39" s="14" t="s">
        <v>30</v>
      </c>
      <c r="B39" s="15" t="s">
        <v>32</v>
      </c>
      <c r="C39" s="15" t="s">
        <v>24</v>
      </c>
      <c r="D39" s="14" t="s">
        <v>25</v>
      </c>
      <c r="E39" s="14">
        <v>41</v>
      </c>
      <c r="F39" s="1">
        <v>51.683</v>
      </c>
      <c r="G39" s="1">
        <v>0.878</v>
      </c>
      <c r="H39" s="1">
        <v>2.6059999999999999</v>
      </c>
      <c r="I39" s="1">
        <v>0.19900000000000001</v>
      </c>
      <c r="J39" s="1">
        <v>6.67</v>
      </c>
      <c r="K39" s="1">
        <v>0.13100000000000001</v>
      </c>
      <c r="L39" s="1">
        <v>15.225</v>
      </c>
      <c r="M39" s="1">
        <v>21.256</v>
      </c>
      <c r="N39" s="1">
        <v>0.38500000000000001</v>
      </c>
      <c r="O39" s="1">
        <v>3.0000000000000001E-3</v>
      </c>
      <c r="P39" s="4"/>
      <c r="Q39" s="12">
        <v>6.7000000000000004E-2</v>
      </c>
      <c r="R39" s="9">
        <v>1.9246843097864901</v>
      </c>
      <c r="S39" s="9">
        <v>2.4586089127447398E-2</v>
      </c>
      <c r="T39" s="9">
        <v>0.114371099266755</v>
      </c>
      <c r="U39" s="9">
        <v>5.8584293809993797E-3</v>
      </c>
      <c r="V39" s="9">
        <v>0.20770204689531199</v>
      </c>
      <c r="W39" s="9">
        <v>0.84803787967223199</v>
      </c>
      <c r="X39" s="9">
        <v>0.845267109337554</v>
      </c>
      <c r="Y39" s="9">
        <v>4.13163384707792E-3</v>
      </c>
      <c r="Z39" s="9">
        <v>2.0070308974278802E-3</v>
      </c>
      <c r="AA39" s="9">
        <v>1.4250892454500299E-4</v>
      </c>
      <c r="AB39" s="9">
        <v>2.7795908177227199E-2</v>
      </c>
      <c r="AC39" s="16"/>
      <c r="AD39" s="11">
        <v>80.274631439500695</v>
      </c>
      <c r="AE39" s="27">
        <v>7.5315690213509923E-2</v>
      </c>
      <c r="AF39" s="28">
        <v>1.0477911615421883E-2</v>
      </c>
      <c r="AG39" s="2">
        <v>32.065409026798299</v>
      </c>
      <c r="AH39" s="26">
        <v>148.06407165527341</v>
      </c>
      <c r="AI39" s="29">
        <v>1.4131067057040809</v>
      </c>
      <c r="AJ39" s="3">
        <v>-1</v>
      </c>
      <c r="AK39" s="22" t="s">
        <v>31</v>
      </c>
    </row>
    <row r="40" spans="1:37" s="5" customFormat="1">
      <c r="A40" s="14" t="s">
        <v>30</v>
      </c>
      <c r="B40" s="15" t="s">
        <v>32</v>
      </c>
      <c r="C40" s="15" t="s">
        <v>24</v>
      </c>
      <c r="D40" s="14" t="s">
        <v>25</v>
      </c>
      <c r="E40" s="14">
        <v>45.2</v>
      </c>
      <c r="F40" s="1">
        <v>52.905999999999999</v>
      </c>
      <c r="G40" s="1">
        <v>0.59799999999999998</v>
      </c>
      <c r="H40" s="1">
        <v>2.593</v>
      </c>
      <c r="I40" s="1">
        <v>0.13300000000000001</v>
      </c>
      <c r="J40" s="1">
        <v>7.4889999999999999</v>
      </c>
      <c r="K40" s="1">
        <v>0.123</v>
      </c>
      <c r="L40" s="1">
        <v>16.943000000000001</v>
      </c>
      <c r="M40" s="1">
        <v>18.542000000000002</v>
      </c>
      <c r="N40" s="1">
        <v>0.376</v>
      </c>
      <c r="O40" s="1">
        <v>1.2E-2</v>
      </c>
      <c r="P40" s="4"/>
      <c r="Q40" s="12">
        <v>5.5E-2</v>
      </c>
      <c r="R40" s="9">
        <v>1.94317995165542</v>
      </c>
      <c r="S40" s="9">
        <v>1.6515526461691899E-2</v>
      </c>
      <c r="T40" s="9">
        <v>0.11223820257409101</v>
      </c>
      <c r="U40" s="9">
        <v>3.8616780727526302E-3</v>
      </c>
      <c r="V40" s="9">
        <v>0.23000383407372099</v>
      </c>
      <c r="W40" s="9">
        <v>0.72960296336844599</v>
      </c>
      <c r="X40" s="9">
        <v>0.92773359215381501</v>
      </c>
      <c r="Y40" s="9">
        <v>3.8260614841401099E-3</v>
      </c>
      <c r="Z40" s="9">
        <v>1.62494343477914E-3</v>
      </c>
      <c r="AA40" s="9">
        <v>5.6220972851721599E-4</v>
      </c>
      <c r="AB40" s="9">
        <v>2.6773446832710799E-2</v>
      </c>
      <c r="AC40" s="16"/>
      <c r="AD40" s="11">
        <v>80.133333443043</v>
      </c>
      <c r="AE40" s="27">
        <v>5.6820048344579988E-2</v>
      </c>
      <c r="AF40" s="28">
        <v>1.0459206860998275E-2</v>
      </c>
      <c r="AG40" s="2">
        <v>32.800865942860902</v>
      </c>
      <c r="AH40" s="26">
        <v>139.69329833984381</v>
      </c>
      <c r="AI40" s="29">
        <v>1.3356012573071037</v>
      </c>
      <c r="AJ40" s="3">
        <v>-1</v>
      </c>
      <c r="AK40" s="22" t="s">
        <v>31</v>
      </c>
    </row>
    <row r="41" spans="1:37" s="5" customFormat="1">
      <c r="A41" s="14" t="s">
        <v>27</v>
      </c>
      <c r="B41" s="15" t="s">
        <v>28</v>
      </c>
      <c r="C41" s="15" t="s">
        <v>24</v>
      </c>
      <c r="D41" s="14" t="s">
        <v>25</v>
      </c>
      <c r="E41" s="14" t="s">
        <v>26</v>
      </c>
      <c r="F41" s="1">
        <v>49.356999999999999</v>
      </c>
      <c r="G41" s="1">
        <v>1.5680000000000001</v>
      </c>
      <c r="H41" s="1">
        <v>4.4950000000000001</v>
      </c>
      <c r="I41" s="1">
        <v>1.1359999999999999</v>
      </c>
      <c r="J41" s="1">
        <v>5.6189999999999998</v>
      </c>
      <c r="K41" s="1">
        <v>0.106</v>
      </c>
      <c r="L41" s="1">
        <v>14.326000000000001</v>
      </c>
      <c r="M41" s="1">
        <v>21.984000000000002</v>
      </c>
      <c r="N41" s="1">
        <v>0.36399999999999999</v>
      </c>
      <c r="O41" s="1">
        <v>6.0000000000000001E-3</v>
      </c>
      <c r="P41" s="3"/>
      <c r="Q41" s="10">
        <v>8.3000000000000004E-2</v>
      </c>
      <c r="R41" s="9">
        <v>1.8452773944172201</v>
      </c>
      <c r="S41" s="9">
        <v>4.4080053179286802E-2</v>
      </c>
      <c r="T41" s="9">
        <v>0.19804901906519301</v>
      </c>
      <c r="U41" s="9">
        <v>3.3574346627386703E-2</v>
      </c>
      <c r="V41" s="9">
        <v>0.17566089467917501</v>
      </c>
      <c r="W41" s="9">
        <v>0.88052469616298301</v>
      </c>
      <c r="X41" s="9">
        <v>0.79847758937326496</v>
      </c>
      <c r="Y41" s="9">
        <v>3.3562747981609499E-3</v>
      </c>
      <c r="Z41" s="9">
        <v>2.4960797885432901E-3</v>
      </c>
      <c r="AA41" s="9">
        <v>2.8613644295341699E-4</v>
      </c>
      <c r="AB41" s="9">
        <v>2.6382906489031702E-2</v>
      </c>
      <c r="AC41" s="16"/>
      <c r="AD41" s="11">
        <v>81.967564411538206</v>
      </c>
      <c r="AE41" s="27">
        <v>0.15494135564522993</v>
      </c>
      <c r="AF41" s="28">
        <v>1.7022970871597955E-2</v>
      </c>
      <c r="AG41" s="2">
        <v>60.016925246826503</v>
      </c>
      <c r="AH41" s="26">
        <v>294.1243896484375</v>
      </c>
      <c r="AI41" s="29">
        <v>1.7278088053312159</v>
      </c>
      <c r="AJ41" s="3">
        <v>-1</v>
      </c>
      <c r="AK41" s="13" t="s">
        <v>29</v>
      </c>
    </row>
    <row r="42" spans="1:37" s="5" customFormat="1">
      <c r="A42" s="14" t="s">
        <v>27</v>
      </c>
      <c r="B42" s="15" t="s">
        <v>28</v>
      </c>
      <c r="C42" s="15" t="s">
        <v>24</v>
      </c>
      <c r="D42" s="14" t="s">
        <v>25</v>
      </c>
      <c r="E42" s="14" t="s">
        <v>64</v>
      </c>
      <c r="F42" s="1">
        <v>47.92</v>
      </c>
      <c r="G42" s="1">
        <v>1.849</v>
      </c>
      <c r="H42" s="1">
        <v>5.3710000000000004</v>
      </c>
      <c r="I42" s="1">
        <v>0.90100000000000002</v>
      </c>
      <c r="J42" s="1">
        <v>7.0049999999999999</v>
      </c>
      <c r="K42" s="1">
        <v>7.4999999999999997E-2</v>
      </c>
      <c r="L42" s="1">
        <v>13.568</v>
      </c>
      <c r="M42" s="1">
        <v>21.584</v>
      </c>
      <c r="N42" s="1">
        <v>0.44400000000000001</v>
      </c>
      <c r="O42" s="1">
        <v>3.0000000000000001E-3</v>
      </c>
      <c r="P42" s="3"/>
      <c r="Q42" s="10">
        <v>0</v>
      </c>
      <c r="R42" s="9">
        <v>1.8095774778518401</v>
      </c>
      <c r="S42" s="9">
        <v>5.2502553821817899E-2</v>
      </c>
      <c r="T42" s="9">
        <v>0.23902626110177799</v>
      </c>
      <c r="U42" s="9">
        <v>2.6896854625382799E-2</v>
      </c>
      <c r="V42" s="9">
        <v>0.22119314525592901</v>
      </c>
      <c r="W42" s="9">
        <v>0.87320099987578903</v>
      </c>
      <c r="X42" s="9">
        <v>0.76383769317099304</v>
      </c>
      <c r="Y42" s="9">
        <v>2.3986140663911902E-3</v>
      </c>
      <c r="Z42" s="9">
        <v>0</v>
      </c>
      <c r="AA42" s="9">
        <v>1.4450758545205201E-4</v>
      </c>
      <c r="AB42" s="9">
        <v>3.2505113800231099E-2</v>
      </c>
      <c r="AC42" s="16"/>
      <c r="AD42" s="11">
        <v>77.544546157644106</v>
      </c>
      <c r="AE42" s="27">
        <v>0.19043814587581998</v>
      </c>
      <c r="AF42" s="28">
        <v>2.1595147232349215E-2</v>
      </c>
      <c r="AG42" s="2">
        <v>57.033199522621203</v>
      </c>
      <c r="AH42" s="26">
        <v>199.5218505859375</v>
      </c>
      <c r="AI42" s="29">
        <v>0.92391984383906722</v>
      </c>
      <c r="AJ42" s="3">
        <v>-1</v>
      </c>
      <c r="AK42" s="13" t="s">
        <v>29</v>
      </c>
    </row>
    <row r="43" spans="1:37" s="5" customFormat="1">
      <c r="A43" s="14" t="s">
        <v>27</v>
      </c>
      <c r="B43" s="15" t="s">
        <v>28</v>
      </c>
      <c r="C43" s="15" t="s">
        <v>24</v>
      </c>
      <c r="D43" s="14" t="s">
        <v>25</v>
      </c>
      <c r="E43" s="14" t="s">
        <v>65</v>
      </c>
      <c r="F43" s="1">
        <v>49.347999999999999</v>
      </c>
      <c r="G43" s="1">
        <v>1.569</v>
      </c>
      <c r="H43" s="1">
        <v>4.5309999999999997</v>
      </c>
      <c r="I43" s="1">
        <v>0.878</v>
      </c>
      <c r="J43" s="1">
        <v>6.5060000000000002</v>
      </c>
      <c r="K43" s="1">
        <v>0.10199999999999999</v>
      </c>
      <c r="L43" s="1">
        <v>14.589</v>
      </c>
      <c r="M43" s="1">
        <v>21.869</v>
      </c>
      <c r="N43" s="1">
        <v>0.42699999999999999</v>
      </c>
      <c r="O43" s="1">
        <v>5.0000000000000001E-3</v>
      </c>
      <c r="P43" s="3"/>
      <c r="Q43" s="10">
        <v>4.7E-2</v>
      </c>
      <c r="R43" s="9">
        <v>1.83601888855238</v>
      </c>
      <c r="S43" s="9">
        <v>4.3894860890698703E-2</v>
      </c>
      <c r="T43" s="9">
        <v>0.19866974932109399</v>
      </c>
      <c r="U43" s="9">
        <v>2.5823698133042101E-2</v>
      </c>
      <c r="V43" s="9">
        <v>0.20240666035878099</v>
      </c>
      <c r="W43" s="9">
        <v>0.87168271123894403</v>
      </c>
      <c r="X43" s="9">
        <v>0.80920394413155095</v>
      </c>
      <c r="Y43" s="9">
        <v>3.21400464711978E-3</v>
      </c>
      <c r="Z43" s="9">
        <v>1.40660744335854E-3</v>
      </c>
      <c r="AA43" s="9">
        <v>2.3729391955651E-4</v>
      </c>
      <c r="AB43" s="9">
        <v>3.0799510306193399E-2</v>
      </c>
      <c r="AC43" s="16"/>
      <c r="AD43" s="11">
        <v>79.991643082788997</v>
      </c>
      <c r="AE43" s="27">
        <v>0.1641124933779099</v>
      </c>
      <c r="AF43" s="28">
        <v>1.8224353813504627E-2</v>
      </c>
      <c r="AG43" s="2">
        <v>67.041879136378398</v>
      </c>
      <c r="AH43" s="26">
        <v>289.1925048828125</v>
      </c>
      <c r="AI43" s="29">
        <v>1.5868464135530271</v>
      </c>
      <c r="AJ43" s="3">
        <v>-1</v>
      </c>
      <c r="AK43" s="13" t="s">
        <v>29</v>
      </c>
    </row>
    <row r="44" spans="1:37" s="5" customFormat="1">
      <c r="A44" s="14" t="s">
        <v>27</v>
      </c>
      <c r="B44" s="15" t="s">
        <v>28</v>
      </c>
      <c r="C44" s="15" t="s">
        <v>24</v>
      </c>
      <c r="D44" s="14" t="s">
        <v>25</v>
      </c>
      <c r="E44" s="14" t="s">
        <v>66</v>
      </c>
      <c r="F44" s="1">
        <v>47.427</v>
      </c>
      <c r="G44" s="1">
        <v>2.2400000000000002</v>
      </c>
      <c r="H44" s="1">
        <v>5.4560000000000004</v>
      </c>
      <c r="I44" s="1">
        <v>0.754</v>
      </c>
      <c r="J44" s="1">
        <v>7.4960000000000004</v>
      </c>
      <c r="K44" s="1">
        <v>0.125</v>
      </c>
      <c r="L44" s="1">
        <v>13.259</v>
      </c>
      <c r="M44" s="1">
        <v>22.074000000000002</v>
      </c>
      <c r="N44" s="1">
        <v>0.45100000000000001</v>
      </c>
      <c r="O44" s="1">
        <v>1.4E-2</v>
      </c>
      <c r="P44" s="3"/>
      <c r="Q44" s="10">
        <v>0</v>
      </c>
      <c r="R44" s="9">
        <v>1.7897331713668401</v>
      </c>
      <c r="S44" s="9">
        <v>6.3561450045634099E-2</v>
      </c>
      <c r="T44" s="9">
        <v>0.242642620607289</v>
      </c>
      <c r="U44" s="9">
        <v>2.2493151629577102E-2</v>
      </c>
      <c r="V44" s="9">
        <v>0.23653497303665699</v>
      </c>
      <c r="W44" s="9">
        <v>0.89241238855012195</v>
      </c>
      <c r="X44" s="9">
        <v>0.74593035676388597</v>
      </c>
      <c r="Y44" s="9">
        <v>3.9949503499610503E-3</v>
      </c>
      <c r="Z44" s="9">
        <v>0</v>
      </c>
      <c r="AA44" s="9">
        <v>6.73906562983833E-4</v>
      </c>
      <c r="AB44" s="9">
        <v>3.2994953675284398E-2</v>
      </c>
      <c r="AC44" s="16"/>
      <c r="AD44" s="11">
        <v>75.924344008691193</v>
      </c>
      <c r="AE44" s="27">
        <v>0.21028270662411996</v>
      </c>
      <c r="AF44" s="28">
        <v>2.4102156645783364E-2</v>
      </c>
      <c r="AG44" s="2">
        <v>77.418660801797699</v>
      </c>
      <c r="AH44" s="26">
        <v>212.0503234863281</v>
      </c>
      <c r="AI44" s="29">
        <v>0.87979813011225272</v>
      </c>
      <c r="AJ44" s="3">
        <v>-1</v>
      </c>
      <c r="AK44" s="13" t="s">
        <v>29</v>
      </c>
    </row>
    <row r="45" spans="1:37" s="5" customFormat="1" ht="14.5">
      <c r="A45" s="14" t="s">
        <v>27</v>
      </c>
      <c r="B45" s="15" t="s">
        <v>28</v>
      </c>
      <c r="C45" s="15" t="s">
        <v>24</v>
      </c>
      <c r="D45" s="14" t="s">
        <v>25</v>
      </c>
      <c r="E45" s="14" t="s">
        <v>67</v>
      </c>
      <c r="F45" s="1">
        <v>51.494999999999997</v>
      </c>
      <c r="G45" s="1">
        <v>1.2989999999999999</v>
      </c>
      <c r="H45" s="1">
        <v>2.73</v>
      </c>
      <c r="I45" s="1">
        <v>0.153</v>
      </c>
      <c r="J45" s="1">
        <v>7.2930000000000001</v>
      </c>
      <c r="K45" s="1">
        <v>9.9000000000000005E-2</v>
      </c>
      <c r="L45" s="1">
        <v>14.755000000000001</v>
      </c>
      <c r="M45" s="1">
        <v>21.855</v>
      </c>
      <c r="N45" s="1">
        <v>0.28199999999999997</v>
      </c>
      <c r="O45" s="1">
        <v>6.0000000000000001E-3</v>
      </c>
      <c r="P45" s="17"/>
      <c r="Q45" s="10">
        <v>1.7999999999999999E-2</v>
      </c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16"/>
      <c r="AD45" s="11">
        <v>78.290000000000006</v>
      </c>
      <c r="AE45" s="27">
        <v>9.0916137390339991E-2</v>
      </c>
      <c r="AF45" s="28">
        <v>1.1364194850549205E-2</v>
      </c>
      <c r="AG45" s="4">
        <v>88.75</v>
      </c>
      <c r="AH45" s="26">
        <v>277.90167236328119</v>
      </c>
      <c r="AI45" s="29">
        <v>2.4454145323797474</v>
      </c>
      <c r="AJ45" s="3">
        <v>-1</v>
      </c>
      <c r="AK45" s="13" t="s">
        <v>29</v>
      </c>
    </row>
    <row r="46" spans="1:37" s="5" customFormat="1" ht="14.5">
      <c r="A46" s="14" t="s">
        <v>27</v>
      </c>
      <c r="B46" s="15" t="s">
        <v>28</v>
      </c>
      <c r="C46" s="15" t="s">
        <v>24</v>
      </c>
      <c r="D46" s="14" t="s">
        <v>25</v>
      </c>
      <c r="E46" s="14" t="s">
        <v>68</v>
      </c>
      <c r="F46" s="1">
        <v>48.554000000000002</v>
      </c>
      <c r="G46" s="1">
        <v>2.0289999999999999</v>
      </c>
      <c r="H46" s="1">
        <v>4.8780000000000001</v>
      </c>
      <c r="I46" s="1">
        <v>0.313</v>
      </c>
      <c r="J46" s="1">
        <v>7.734</v>
      </c>
      <c r="K46" s="1">
        <v>0.14599999999999999</v>
      </c>
      <c r="L46" s="1">
        <v>13.217000000000001</v>
      </c>
      <c r="M46" s="1">
        <v>21.597000000000001</v>
      </c>
      <c r="N46" s="1">
        <v>0.39800000000000002</v>
      </c>
      <c r="O46" s="1">
        <v>3.0000000000000001E-3</v>
      </c>
      <c r="P46" s="17"/>
      <c r="Q46" s="10">
        <v>6.2E-2</v>
      </c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16"/>
      <c r="AD46" s="11">
        <v>75.290000000000006</v>
      </c>
      <c r="AE46" s="27">
        <v>0.16823217927935996</v>
      </c>
      <c r="AF46" s="28">
        <v>1.8691629459533159E-2</v>
      </c>
      <c r="AG46" s="4">
        <v>192.16</v>
      </c>
      <c r="AH46" s="26">
        <v>180.3291320800781</v>
      </c>
      <c r="AI46" s="29">
        <v>0.96475875723133431</v>
      </c>
      <c r="AJ46" s="3">
        <v>-1</v>
      </c>
      <c r="AK46" s="13" t="s">
        <v>29</v>
      </c>
    </row>
    <row r="47" spans="1:37" s="5" customFormat="1" ht="14.5">
      <c r="A47" s="14" t="s">
        <v>27</v>
      </c>
      <c r="B47" s="15" t="s">
        <v>28</v>
      </c>
      <c r="C47" s="15" t="s">
        <v>24</v>
      </c>
      <c r="D47" s="14" t="s">
        <v>25</v>
      </c>
      <c r="E47" s="14" t="s">
        <v>69</v>
      </c>
      <c r="F47" s="1">
        <v>51.496000000000002</v>
      </c>
      <c r="G47" s="1">
        <v>1.41</v>
      </c>
      <c r="H47" s="1">
        <v>2.899</v>
      </c>
      <c r="I47" s="1">
        <v>0.11600000000000001</v>
      </c>
      <c r="J47" s="1">
        <v>7.6820000000000004</v>
      </c>
      <c r="K47" s="1">
        <v>0.13700000000000001</v>
      </c>
      <c r="L47" s="1">
        <v>14.419</v>
      </c>
      <c r="M47" s="1">
        <v>21.463999999999999</v>
      </c>
      <c r="N47" s="1">
        <v>0.40100000000000002</v>
      </c>
      <c r="O47" s="1">
        <v>1.2999999999999999E-2</v>
      </c>
      <c r="P47" s="17"/>
      <c r="Q47" s="10">
        <v>3.5999999999999997E-2</v>
      </c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16"/>
      <c r="AD47" s="11">
        <v>76.989999999999995</v>
      </c>
      <c r="AE47" s="27">
        <v>9.0748313214239928E-2</v>
      </c>
      <c r="AF47" s="28">
        <v>1.15327308495105E-2</v>
      </c>
      <c r="AG47" s="4">
        <v>133.62</v>
      </c>
      <c r="AH47" s="26">
        <v>186.17347717285159</v>
      </c>
      <c r="AI47" s="29">
        <v>1.6143052291968958</v>
      </c>
      <c r="AJ47" s="3">
        <v>-1</v>
      </c>
      <c r="AK47" s="13" t="s">
        <v>29</v>
      </c>
    </row>
    <row r="48" spans="1:37" s="5" customFormat="1" ht="14.5">
      <c r="A48" s="14" t="s">
        <v>27</v>
      </c>
      <c r="B48" s="15" t="s">
        <v>28</v>
      </c>
      <c r="C48" s="15" t="s">
        <v>24</v>
      </c>
      <c r="D48" s="14" t="s">
        <v>25</v>
      </c>
      <c r="E48" s="14" t="s">
        <v>70</v>
      </c>
      <c r="F48" s="1">
        <v>50.975000000000001</v>
      </c>
      <c r="G48" s="1">
        <v>1.34</v>
      </c>
      <c r="H48" s="1">
        <v>2.9980000000000002</v>
      </c>
      <c r="I48" s="1">
        <v>0.217</v>
      </c>
      <c r="J48" s="1">
        <v>7.5720000000000001</v>
      </c>
      <c r="K48" s="1">
        <v>0.14399999999999999</v>
      </c>
      <c r="L48" s="1">
        <v>14.865</v>
      </c>
      <c r="M48" s="1">
        <v>21.504999999999999</v>
      </c>
      <c r="N48" s="1">
        <v>0.32700000000000001</v>
      </c>
      <c r="O48" s="1">
        <v>8.9999999999999993E-3</v>
      </c>
      <c r="P48" s="17"/>
      <c r="Q48" s="10">
        <v>0</v>
      </c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16"/>
      <c r="AD48" s="11">
        <v>77.78</v>
      </c>
      <c r="AE48" s="27">
        <v>0.10634741339886</v>
      </c>
      <c r="AF48" s="28">
        <v>1.2716929238986135E-2</v>
      </c>
      <c r="AG48" s="4">
        <v>98.77</v>
      </c>
      <c r="AH48" s="26">
        <v>188.64137268066409</v>
      </c>
      <c r="AI48" s="29">
        <v>1.4833877670904114</v>
      </c>
      <c r="AJ48" s="3">
        <v>-1</v>
      </c>
      <c r="AK48" s="13" t="s">
        <v>29</v>
      </c>
    </row>
    <row r="49" spans="1:37" s="5" customFormat="1" ht="14.5">
      <c r="A49" s="14" t="s">
        <v>27</v>
      </c>
      <c r="B49" s="15" t="s">
        <v>28</v>
      </c>
      <c r="C49" s="15" t="s">
        <v>24</v>
      </c>
      <c r="D49" s="14" t="s">
        <v>25</v>
      </c>
      <c r="E49" s="14" t="s">
        <v>71</v>
      </c>
      <c r="F49" s="1">
        <v>49.59</v>
      </c>
      <c r="G49" s="1">
        <v>1.754</v>
      </c>
      <c r="H49" s="1">
        <v>4.7030000000000003</v>
      </c>
      <c r="I49" s="1">
        <v>0.60599999999999998</v>
      </c>
      <c r="J49" s="1">
        <v>6.891</v>
      </c>
      <c r="K49" s="1">
        <v>0.14799999999999999</v>
      </c>
      <c r="L49" s="1">
        <v>13.936999999999999</v>
      </c>
      <c r="M49" s="1">
        <v>21.567</v>
      </c>
      <c r="N49" s="1">
        <v>0.35</v>
      </c>
      <c r="O49" s="1">
        <v>0</v>
      </c>
      <c r="P49" s="17"/>
      <c r="Q49" s="10">
        <v>3.5999999999999997E-2</v>
      </c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16"/>
      <c r="AD49" s="11">
        <v>78.290000000000006</v>
      </c>
      <c r="AE49" s="27">
        <v>0.1518381603416501</v>
      </c>
      <c r="AF49" s="28">
        <v>1.7002733384365018E-2</v>
      </c>
      <c r="AG49" s="4">
        <v>78.540000000000006</v>
      </c>
      <c r="AH49" s="26">
        <v>241.91508483886719</v>
      </c>
      <c r="AI49" s="29">
        <v>1.4228011424405553</v>
      </c>
      <c r="AJ49" s="3">
        <v>-1</v>
      </c>
      <c r="AK49" s="13" t="s">
        <v>29</v>
      </c>
    </row>
    <row r="50" spans="1:37" s="5" customFormat="1" ht="14.5">
      <c r="A50" s="14" t="s">
        <v>27</v>
      </c>
      <c r="B50" s="15" t="s">
        <v>28</v>
      </c>
      <c r="C50" s="15" t="s">
        <v>24</v>
      </c>
      <c r="D50" s="14" t="s">
        <v>25</v>
      </c>
      <c r="E50" s="14" t="s">
        <v>72</v>
      </c>
      <c r="F50" s="1">
        <v>48.710999999999999</v>
      </c>
      <c r="G50" s="1">
        <v>2.2200000000000002</v>
      </c>
      <c r="H50" s="1">
        <v>4.8520000000000003</v>
      </c>
      <c r="I50" s="1">
        <v>0.22900000000000001</v>
      </c>
      <c r="J50" s="1">
        <v>7.71</v>
      </c>
      <c r="K50" s="1">
        <v>0.121</v>
      </c>
      <c r="L50" s="1">
        <v>13.532</v>
      </c>
      <c r="M50" s="1">
        <v>21.939</v>
      </c>
      <c r="N50" s="1">
        <v>0.30099999999999999</v>
      </c>
      <c r="O50" s="1">
        <v>1.0999999999999999E-2</v>
      </c>
      <c r="P50" s="17"/>
      <c r="Q50" s="10">
        <v>3.9E-2</v>
      </c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16"/>
      <c r="AD50" s="11">
        <v>75.78</v>
      </c>
      <c r="AE50" s="27">
        <v>0.1751989251377899</v>
      </c>
      <c r="AF50" s="28">
        <v>1.9411982869588368E-2</v>
      </c>
      <c r="AG50" s="4">
        <v>72.739999999999995</v>
      </c>
      <c r="AH50" s="26">
        <v>267.66543579101563</v>
      </c>
      <c r="AI50" s="29">
        <v>1.3788670512910435</v>
      </c>
      <c r="AJ50" s="3">
        <v>-1</v>
      </c>
      <c r="AK50" s="13" t="s">
        <v>29</v>
      </c>
    </row>
    <row r="51" spans="1:37" s="5" customFormat="1" ht="14.5">
      <c r="A51" s="14" t="s">
        <v>27</v>
      </c>
      <c r="B51" s="15" t="s">
        <v>28</v>
      </c>
      <c r="C51" s="15" t="s">
        <v>24</v>
      </c>
      <c r="D51" s="14" t="s">
        <v>25</v>
      </c>
      <c r="E51" s="14" t="s">
        <v>73</v>
      </c>
      <c r="F51" s="1">
        <v>51.63</v>
      </c>
      <c r="G51" s="1">
        <v>1.4059999999999999</v>
      </c>
      <c r="H51" s="1">
        <v>2.65</v>
      </c>
      <c r="I51" s="1">
        <v>0.19500000000000001</v>
      </c>
      <c r="J51" s="1">
        <v>7.6</v>
      </c>
      <c r="K51" s="1">
        <v>0.15</v>
      </c>
      <c r="L51" s="1">
        <v>14.551</v>
      </c>
      <c r="M51" s="1">
        <v>21.805</v>
      </c>
      <c r="N51" s="1">
        <v>0.32400000000000001</v>
      </c>
      <c r="O51" s="1">
        <v>8.0000000000000002E-3</v>
      </c>
      <c r="P51" s="17"/>
      <c r="Q51" s="10">
        <v>2.4E-2</v>
      </c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16"/>
      <c r="AD51" s="11">
        <v>77.34</v>
      </c>
      <c r="AE51" s="27">
        <v>8.9897111592559975E-2</v>
      </c>
      <c r="AF51" s="28">
        <v>1.133108457173081E-2</v>
      </c>
      <c r="AG51" s="4">
        <v>188.76</v>
      </c>
      <c r="AH51" s="26">
        <v>206.34153747558591</v>
      </c>
      <c r="AI51" s="29">
        <v>1.8210219522178315</v>
      </c>
      <c r="AJ51" s="3">
        <v>-1</v>
      </c>
      <c r="AK51" s="13" t="s">
        <v>29</v>
      </c>
    </row>
    <row r="52" spans="1:37" s="5" customFormat="1" ht="14.5">
      <c r="A52" s="14" t="s">
        <v>27</v>
      </c>
      <c r="B52" s="15" t="s">
        <v>28</v>
      </c>
      <c r="C52" s="15" t="s">
        <v>24</v>
      </c>
      <c r="D52" s="14" t="s">
        <v>25</v>
      </c>
      <c r="E52" s="14" t="s">
        <v>74</v>
      </c>
      <c r="F52" s="1">
        <v>49.094999999999999</v>
      </c>
      <c r="G52" s="1">
        <v>1.542</v>
      </c>
      <c r="H52" s="1">
        <v>4.7690000000000001</v>
      </c>
      <c r="I52" s="1">
        <v>0.93200000000000005</v>
      </c>
      <c r="J52" s="1">
        <v>7.3120000000000003</v>
      </c>
      <c r="K52" s="1">
        <v>0.151</v>
      </c>
      <c r="L52" s="1">
        <v>14.321</v>
      </c>
      <c r="M52" s="1">
        <v>21.074000000000002</v>
      </c>
      <c r="N52" s="1">
        <v>0.35599999999999998</v>
      </c>
      <c r="O52" s="1">
        <v>3.0000000000000001E-3</v>
      </c>
      <c r="P52" s="17"/>
      <c r="Q52" s="10">
        <v>0</v>
      </c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16"/>
      <c r="AD52" s="11">
        <v>77.739999999999995</v>
      </c>
      <c r="AE52" s="27">
        <v>0.16519889518778008</v>
      </c>
      <c r="AF52" s="28">
        <v>1.8876757230624291E-2</v>
      </c>
      <c r="AG52" s="4">
        <v>61.64</v>
      </c>
      <c r="AH52" s="26">
        <v>123.30076599121089</v>
      </c>
      <c r="AI52" s="29">
        <v>0.6531882806183289</v>
      </c>
      <c r="AJ52" s="3">
        <v>-1</v>
      </c>
      <c r="AK52" s="13" t="s">
        <v>29</v>
      </c>
    </row>
    <row r="53" spans="1:37" s="5" customFormat="1" ht="14.5">
      <c r="A53" s="14" t="s">
        <v>27</v>
      </c>
      <c r="B53" s="15" t="s">
        <v>28</v>
      </c>
      <c r="C53" s="15" t="s">
        <v>24</v>
      </c>
      <c r="D53" s="14" t="s">
        <v>25</v>
      </c>
      <c r="E53" s="14" t="s">
        <v>75</v>
      </c>
      <c r="F53" s="1">
        <v>51.046999999999997</v>
      </c>
      <c r="G53" s="1">
        <v>1.4570000000000001</v>
      </c>
      <c r="H53" s="1">
        <v>3.153</v>
      </c>
      <c r="I53" s="1">
        <v>0.26100000000000001</v>
      </c>
      <c r="J53" s="1">
        <v>7.0650000000000004</v>
      </c>
      <c r="K53" s="1">
        <v>0.114</v>
      </c>
      <c r="L53" s="1">
        <v>14.545</v>
      </c>
      <c r="M53" s="1">
        <v>22.013999999999999</v>
      </c>
      <c r="N53" s="1">
        <v>0.376</v>
      </c>
      <c r="O53" s="1">
        <v>6.0000000000000001E-3</v>
      </c>
      <c r="P53" s="17"/>
      <c r="Q53" s="10">
        <v>9.8000000000000004E-2</v>
      </c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16"/>
      <c r="AD53" s="11">
        <v>78.59</v>
      </c>
      <c r="AE53" s="27">
        <v>0.1081451672114</v>
      </c>
      <c r="AF53" s="28">
        <v>1.2638548819470109E-2</v>
      </c>
      <c r="AG53" s="4">
        <v>93.78</v>
      </c>
      <c r="AH53" s="26">
        <v>219.5689697265625</v>
      </c>
      <c r="AI53" s="29">
        <v>1.7372957359495982</v>
      </c>
      <c r="AJ53" s="3">
        <v>-1</v>
      </c>
      <c r="AK53" s="13" t="s">
        <v>29</v>
      </c>
    </row>
    <row r="54" spans="1:37" s="5" customFormat="1" ht="14.5">
      <c r="A54" s="14" t="s">
        <v>27</v>
      </c>
      <c r="B54" s="15" t="s">
        <v>28</v>
      </c>
      <c r="C54" s="15" t="s">
        <v>24</v>
      </c>
      <c r="D54" s="14" t="s">
        <v>25</v>
      </c>
      <c r="E54" s="14" t="s">
        <v>76</v>
      </c>
      <c r="F54" s="1">
        <v>49.136000000000003</v>
      </c>
      <c r="G54" s="1">
        <v>1.9490000000000001</v>
      </c>
      <c r="H54" s="1">
        <v>4.2320000000000002</v>
      </c>
      <c r="I54" s="1">
        <v>0.17799999999999999</v>
      </c>
      <c r="J54" s="1">
        <v>7.8550000000000004</v>
      </c>
      <c r="K54" s="1">
        <v>0.13</v>
      </c>
      <c r="L54" s="1">
        <v>13.821</v>
      </c>
      <c r="M54" s="1">
        <v>22.132999999999999</v>
      </c>
      <c r="N54" s="1">
        <v>0.41399999999999998</v>
      </c>
      <c r="O54" s="1">
        <v>1.0999999999999999E-2</v>
      </c>
      <c r="P54" s="17"/>
      <c r="Q54" s="10">
        <v>5.2999999999999999E-2</v>
      </c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16"/>
      <c r="AD54" s="11">
        <v>75.83</v>
      </c>
      <c r="AE54" s="27">
        <v>0.161231137543</v>
      </c>
      <c r="AF54" s="28">
        <v>1.7610698530358546E-2</v>
      </c>
      <c r="AG54" s="4">
        <v>108.66</v>
      </c>
      <c r="AH54" s="26">
        <v>224.25599670410159</v>
      </c>
      <c r="AI54" s="29">
        <v>1.2734077317689216</v>
      </c>
      <c r="AJ54" s="3">
        <v>-1</v>
      </c>
      <c r="AK54" s="13" t="s">
        <v>29</v>
      </c>
    </row>
    <row r="55" spans="1:37" s="5" customFormat="1" ht="14.5">
      <c r="A55" s="14" t="s">
        <v>27</v>
      </c>
      <c r="B55" s="15" t="s">
        <v>28</v>
      </c>
      <c r="C55" s="15" t="s">
        <v>24</v>
      </c>
      <c r="D55" s="14" t="s">
        <v>25</v>
      </c>
      <c r="E55" s="14" t="s">
        <v>77</v>
      </c>
      <c r="F55" s="1">
        <v>49.648000000000003</v>
      </c>
      <c r="G55" s="1">
        <v>1.1020000000000001</v>
      </c>
      <c r="H55" s="1">
        <v>4.4880000000000004</v>
      </c>
      <c r="I55" s="1">
        <v>0.16</v>
      </c>
      <c r="J55" s="1">
        <v>8.0389999999999997</v>
      </c>
      <c r="K55" s="1">
        <v>0.186</v>
      </c>
      <c r="L55" s="1">
        <v>14.523999999999999</v>
      </c>
      <c r="M55" s="1">
        <v>20.827999999999999</v>
      </c>
      <c r="N55" s="1">
        <v>0.38300000000000001</v>
      </c>
      <c r="O55" s="1">
        <v>0</v>
      </c>
      <c r="P55" s="17"/>
      <c r="Q55" s="10">
        <v>2.3E-2</v>
      </c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16"/>
      <c r="AD55" s="11">
        <v>76.31</v>
      </c>
      <c r="AE55" s="27">
        <v>0.14179084322751989</v>
      </c>
      <c r="AF55" s="28">
        <v>1.6347988487818203E-2</v>
      </c>
      <c r="AG55" s="4">
        <v>71.05</v>
      </c>
      <c r="AH55" s="26">
        <v>96.425941467285156</v>
      </c>
      <c r="AI55" s="29">
        <v>0.58983367610723181</v>
      </c>
      <c r="AJ55" s="3">
        <v>-1</v>
      </c>
      <c r="AK55" s="13" t="s">
        <v>29</v>
      </c>
    </row>
    <row r="56" spans="1:37" s="5" customFormat="1" ht="14.5">
      <c r="A56" s="14" t="s">
        <v>27</v>
      </c>
      <c r="B56" s="15" t="s">
        <v>28</v>
      </c>
      <c r="C56" s="15" t="s">
        <v>24</v>
      </c>
      <c r="D56" s="14" t="s">
        <v>25</v>
      </c>
      <c r="E56" s="14" t="s">
        <v>78</v>
      </c>
      <c r="F56" s="1">
        <v>50.753</v>
      </c>
      <c r="G56" s="1">
        <v>1.327</v>
      </c>
      <c r="H56" s="1">
        <v>2.8180000000000001</v>
      </c>
      <c r="I56" s="1">
        <v>0.21299999999999999</v>
      </c>
      <c r="J56" s="1">
        <v>7.0679999999999996</v>
      </c>
      <c r="K56" s="1">
        <v>0.128</v>
      </c>
      <c r="L56" s="1">
        <v>14.766999999999999</v>
      </c>
      <c r="M56" s="1">
        <v>21.497</v>
      </c>
      <c r="N56" s="1">
        <v>0.26100000000000001</v>
      </c>
      <c r="O56" s="1">
        <v>0</v>
      </c>
      <c r="P56" s="17"/>
      <c r="Q56" s="10">
        <v>8.4000000000000005E-2</v>
      </c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16"/>
      <c r="AD56" s="11">
        <v>78.84</v>
      </c>
      <c r="AE56" s="27">
        <v>9.8432092506669955E-2</v>
      </c>
      <c r="AF56" s="28">
        <v>1.1994061666908723E-2</v>
      </c>
      <c r="AG56" s="4">
        <v>192.51</v>
      </c>
      <c r="AH56" s="26">
        <v>309.38699340820313</v>
      </c>
      <c r="AI56" s="29">
        <v>2.5795014399650209</v>
      </c>
      <c r="AJ56" s="3">
        <v>-1</v>
      </c>
      <c r="AK56" s="13" t="s">
        <v>29</v>
      </c>
    </row>
    <row r="57" spans="1:37" s="5" customFormat="1" ht="14.5">
      <c r="A57" s="14" t="s">
        <v>27</v>
      </c>
      <c r="B57" s="15" t="s">
        <v>28</v>
      </c>
      <c r="C57" s="15" t="s">
        <v>24</v>
      </c>
      <c r="D57" s="14" t="s">
        <v>25</v>
      </c>
      <c r="E57" s="14" t="s">
        <v>79</v>
      </c>
      <c r="F57" s="1">
        <v>51.018999999999998</v>
      </c>
      <c r="G57" s="1">
        <v>1.1220000000000001</v>
      </c>
      <c r="H57" s="1">
        <v>2.9329999999999998</v>
      </c>
      <c r="I57" s="1">
        <v>0.20599999999999999</v>
      </c>
      <c r="J57" s="1">
        <v>7.4770000000000003</v>
      </c>
      <c r="K57" s="1">
        <v>0.14799999999999999</v>
      </c>
      <c r="L57" s="1">
        <v>14.96</v>
      </c>
      <c r="M57" s="1">
        <v>21.172999999999998</v>
      </c>
      <c r="N57" s="1">
        <v>0.246</v>
      </c>
      <c r="O57" s="1">
        <v>0</v>
      </c>
      <c r="P57" s="17"/>
      <c r="Q57" s="10">
        <v>8.6999999999999994E-2</v>
      </c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16"/>
      <c r="AD57" s="11">
        <v>78.099999999999994</v>
      </c>
      <c r="AE57" s="27">
        <v>9.6643278779680042E-2</v>
      </c>
      <c r="AF57" s="28">
        <v>1.2058082831082258E-2</v>
      </c>
      <c r="AG57" s="4">
        <v>209.48</v>
      </c>
      <c r="AH57" s="26">
        <v>179.41523742675781</v>
      </c>
      <c r="AI57" s="29">
        <v>1.487925070180121</v>
      </c>
      <c r="AJ57" s="3">
        <v>-1</v>
      </c>
      <c r="AK57" s="13" t="s">
        <v>29</v>
      </c>
    </row>
    <row r="58" spans="1:37" s="5" customFormat="1">
      <c r="A58" s="14" t="s">
        <v>27</v>
      </c>
      <c r="B58" s="15" t="s">
        <v>28</v>
      </c>
      <c r="C58" s="15" t="s">
        <v>24</v>
      </c>
      <c r="D58" s="14" t="s">
        <v>25</v>
      </c>
      <c r="E58" s="14" t="s">
        <v>80</v>
      </c>
      <c r="F58" s="1">
        <v>50.61</v>
      </c>
      <c r="G58" s="1">
        <v>1.5980000000000001</v>
      </c>
      <c r="H58" s="1">
        <v>3.3490000000000002</v>
      </c>
      <c r="I58" s="1">
        <v>8.8999999999999996E-2</v>
      </c>
      <c r="J58" s="1">
        <v>7.2770000000000001</v>
      </c>
      <c r="K58" s="1">
        <v>0.113</v>
      </c>
      <c r="L58" s="1">
        <v>14.558999999999999</v>
      </c>
      <c r="M58" s="1">
        <v>21.817</v>
      </c>
      <c r="N58" s="1">
        <v>0.32</v>
      </c>
      <c r="O58" s="1">
        <v>2E-3</v>
      </c>
      <c r="P58" s="3"/>
      <c r="Q58" s="10">
        <v>0.05</v>
      </c>
      <c r="R58" s="9">
        <v>1.88305513689941</v>
      </c>
      <c r="S58" s="9">
        <v>4.4708141720970797E-2</v>
      </c>
      <c r="T58" s="9">
        <v>0.146849319952463</v>
      </c>
      <c r="U58" s="9">
        <v>2.6177793507673702E-3</v>
      </c>
      <c r="V58" s="9">
        <v>0.226403025263399</v>
      </c>
      <c r="W58" s="9">
        <v>0.86964829522683595</v>
      </c>
      <c r="X58" s="9">
        <v>0.80757547805907404</v>
      </c>
      <c r="Y58" s="9">
        <v>3.56076967470376E-3</v>
      </c>
      <c r="Z58" s="9">
        <v>1.49645674524604E-3</v>
      </c>
      <c r="AA58" s="9">
        <v>9.4921744630511204E-5</v>
      </c>
      <c r="AB58" s="9">
        <v>2.3082615925638299E-2</v>
      </c>
      <c r="AC58" s="16"/>
      <c r="AD58" s="11">
        <v>78.1037009438881</v>
      </c>
      <c r="AE58" s="27">
        <v>0.11694486310059005</v>
      </c>
      <c r="AF58" s="28">
        <v>1.3440178199643299E-2</v>
      </c>
      <c r="AG58" s="2">
        <v>39.952045133991497</v>
      </c>
      <c r="AH58" s="26">
        <v>373.74981689453119</v>
      </c>
      <c r="AI58" s="29">
        <v>2.7808397429168794</v>
      </c>
      <c r="AJ58" s="3">
        <v>-1</v>
      </c>
      <c r="AK58" s="13" t="s">
        <v>29</v>
      </c>
    </row>
    <row r="59" spans="1:37" s="5" customFormat="1">
      <c r="A59" s="14" t="s">
        <v>27</v>
      </c>
      <c r="B59" s="15" t="s">
        <v>28</v>
      </c>
      <c r="C59" s="15" t="s">
        <v>24</v>
      </c>
      <c r="D59" s="14" t="s">
        <v>25</v>
      </c>
      <c r="E59" s="14" t="s">
        <v>81</v>
      </c>
      <c r="F59" s="1">
        <v>51.984000000000002</v>
      </c>
      <c r="G59" s="1">
        <v>0.90700000000000003</v>
      </c>
      <c r="H59" s="1">
        <v>2.19</v>
      </c>
      <c r="I59" s="1">
        <v>0.58299999999999996</v>
      </c>
      <c r="J59" s="1">
        <v>6.1840000000000002</v>
      </c>
      <c r="K59" s="1">
        <v>0.112</v>
      </c>
      <c r="L59" s="1">
        <v>16.388999999999999</v>
      </c>
      <c r="M59" s="1">
        <v>21.041</v>
      </c>
      <c r="N59" s="1">
        <v>0.29299999999999998</v>
      </c>
      <c r="O59" s="1">
        <v>2E-3</v>
      </c>
      <c r="P59" s="3"/>
      <c r="Q59" s="10">
        <v>6.6000000000000003E-2</v>
      </c>
      <c r="R59" s="9">
        <v>1.9197194431012901</v>
      </c>
      <c r="S59" s="9">
        <v>2.51859595328369E-2</v>
      </c>
      <c r="T59" s="9">
        <v>9.5310835626469401E-2</v>
      </c>
      <c r="U59" s="9">
        <v>1.7019741356275001E-2</v>
      </c>
      <c r="V59" s="9">
        <v>0.190959250716187</v>
      </c>
      <c r="W59" s="9">
        <v>0.83244656367774805</v>
      </c>
      <c r="X59" s="9">
        <v>0.90228845931190604</v>
      </c>
      <c r="Y59" s="9">
        <v>3.5028765502945398E-3</v>
      </c>
      <c r="Z59" s="9">
        <v>1.9605569835726999E-3</v>
      </c>
      <c r="AA59" s="9">
        <v>9.4212186259438495E-5</v>
      </c>
      <c r="AB59" s="9">
        <v>2.0977031849566501E-2</v>
      </c>
      <c r="AC59" s="16"/>
      <c r="AD59" s="11">
        <v>82.532846950918398</v>
      </c>
      <c r="AE59" s="27">
        <v>8.0280556898709943E-2</v>
      </c>
      <c r="AF59" s="28">
        <v>1.09916108864162E-2</v>
      </c>
      <c r="AG59" s="2">
        <v>37.610772547036802</v>
      </c>
      <c r="AH59" s="26">
        <v>162.49700927734381</v>
      </c>
      <c r="AI59" s="29">
        <v>1.4783730151707157</v>
      </c>
      <c r="AJ59" s="3">
        <v>-1</v>
      </c>
      <c r="AK59" s="13" t="s">
        <v>29</v>
      </c>
    </row>
    <row r="60" spans="1:37" s="5" customFormat="1">
      <c r="A60" s="14" t="s">
        <v>27</v>
      </c>
      <c r="B60" s="15" t="s">
        <v>28</v>
      </c>
      <c r="C60" s="15" t="s">
        <v>24</v>
      </c>
      <c r="D60" s="14" t="s">
        <v>25</v>
      </c>
      <c r="E60" s="14" t="s">
        <v>82</v>
      </c>
      <c r="F60" s="1">
        <v>52.276000000000003</v>
      </c>
      <c r="G60" s="1">
        <v>0.90800000000000003</v>
      </c>
      <c r="H60" s="1">
        <v>2.5070000000000001</v>
      </c>
      <c r="I60" s="1">
        <v>0.40400000000000003</v>
      </c>
      <c r="J60" s="1">
        <v>6.1520000000000001</v>
      </c>
      <c r="K60" s="1">
        <v>9.6000000000000002E-2</v>
      </c>
      <c r="L60" s="1">
        <v>16.012</v>
      </c>
      <c r="M60" s="1">
        <v>21.157</v>
      </c>
      <c r="N60" s="1">
        <v>0.26800000000000002</v>
      </c>
      <c r="O60" s="1">
        <v>1.2999999999999999E-2</v>
      </c>
      <c r="P60" s="3"/>
      <c r="Q60" s="10">
        <v>6.4000000000000001E-2</v>
      </c>
      <c r="R60" s="9">
        <v>1.92532749747868</v>
      </c>
      <c r="S60" s="9">
        <v>2.5146135844315499E-2</v>
      </c>
      <c r="T60" s="9">
        <v>0.10881447999560501</v>
      </c>
      <c r="U60" s="9">
        <v>1.1762508790287601E-2</v>
      </c>
      <c r="V60" s="9">
        <v>0.18946183639997199</v>
      </c>
      <c r="W60" s="9">
        <v>0.83479198228947604</v>
      </c>
      <c r="X60" s="9">
        <v>0.87916972317804898</v>
      </c>
      <c r="Y60" s="9">
        <v>2.9944167059995702E-3</v>
      </c>
      <c r="Z60" s="9">
        <v>1.89604963737769E-3</v>
      </c>
      <c r="AA60" s="9">
        <v>6.1073756515545898E-4</v>
      </c>
      <c r="AB60" s="9">
        <v>1.9135746363452999E-2</v>
      </c>
      <c r="AC60" s="16"/>
      <c r="AD60" s="11">
        <v>82.270611914663405</v>
      </c>
      <c r="AE60" s="27">
        <v>7.4672502521319961E-2</v>
      </c>
      <c r="AF60" s="28">
        <v>1.0573327570685352E-2</v>
      </c>
      <c r="AG60" s="2">
        <v>27.5194933070761</v>
      </c>
      <c r="AH60" s="26">
        <v>338.623779296875</v>
      </c>
      <c r="AI60" s="29">
        <v>3.2026226089477503</v>
      </c>
      <c r="AJ60" s="3">
        <v>-1</v>
      </c>
      <c r="AK60" s="13" t="s">
        <v>29</v>
      </c>
    </row>
    <row r="61" spans="1:37" s="5" customFormat="1">
      <c r="A61" s="14" t="s">
        <v>27</v>
      </c>
      <c r="B61" s="14" t="s">
        <v>28</v>
      </c>
      <c r="C61" s="14" t="s">
        <v>24</v>
      </c>
      <c r="D61" s="14" t="s">
        <v>25</v>
      </c>
      <c r="E61" s="14" t="s">
        <v>83</v>
      </c>
      <c r="F61" s="1">
        <v>50.606999999999999</v>
      </c>
      <c r="G61" s="1">
        <v>1.0569999999999999</v>
      </c>
      <c r="H61" s="1">
        <v>3.645</v>
      </c>
      <c r="I61" s="1">
        <v>0.876</v>
      </c>
      <c r="J61" s="1">
        <v>6.0339999999999998</v>
      </c>
      <c r="K61" s="1">
        <v>0.13100000000000001</v>
      </c>
      <c r="L61" s="1">
        <v>15.234999999999999</v>
      </c>
      <c r="M61" s="1">
        <v>21.824000000000002</v>
      </c>
      <c r="N61" s="1">
        <v>0.39200000000000002</v>
      </c>
      <c r="O61" s="1">
        <v>2E-3</v>
      </c>
      <c r="P61" s="3"/>
      <c r="Q61" s="10">
        <v>0</v>
      </c>
      <c r="R61" s="9">
        <v>1.87529620232099</v>
      </c>
      <c r="S61" s="9">
        <v>2.9452177770394501E-2</v>
      </c>
      <c r="T61" s="9">
        <v>0.159179415881081</v>
      </c>
      <c r="U61" s="9">
        <v>2.5661362936022499E-2</v>
      </c>
      <c r="V61" s="9">
        <v>0.18696819637329401</v>
      </c>
      <c r="W61" s="9">
        <v>0.86639423374300195</v>
      </c>
      <c r="X61" s="9">
        <v>0.84164048429878202</v>
      </c>
      <c r="Y61" s="9">
        <v>4.1112067402615596E-3</v>
      </c>
      <c r="Z61" s="9">
        <v>0</v>
      </c>
      <c r="AA61" s="9">
        <v>9.4536233174229102E-5</v>
      </c>
      <c r="AB61" s="9">
        <v>2.8161364639277601E-2</v>
      </c>
      <c r="AC61" s="16"/>
      <c r="AD61" s="11">
        <v>81.823194778880094</v>
      </c>
      <c r="AE61" s="27">
        <v>0.12470379767900996</v>
      </c>
      <c r="AF61" s="28">
        <v>1.4181463579836863E-2</v>
      </c>
      <c r="AG61" s="2">
        <v>43.731850991454401</v>
      </c>
      <c r="AH61" s="26">
        <v>270.6416015625</v>
      </c>
      <c r="AI61" s="29">
        <v>1.9084179854842132</v>
      </c>
      <c r="AJ61" s="3">
        <v>-1</v>
      </c>
      <c r="AK61" s="13" t="s">
        <v>29</v>
      </c>
    </row>
    <row r="62" spans="1:37" s="5" customFormat="1">
      <c r="A62" s="14" t="s">
        <v>27</v>
      </c>
      <c r="B62" s="14" t="s">
        <v>28</v>
      </c>
      <c r="C62" s="14" t="s">
        <v>24</v>
      </c>
      <c r="D62" s="14" t="s">
        <v>25</v>
      </c>
      <c r="E62" s="14" t="s">
        <v>84</v>
      </c>
      <c r="F62" s="1">
        <v>49.573</v>
      </c>
      <c r="G62" s="1">
        <v>1.498</v>
      </c>
      <c r="H62" s="1">
        <v>4.5330000000000004</v>
      </c>
      <c r="I62" s="1">
        <v>0.57799999999999996</v>
      </c>
      <c r="J62" s="1">
        <v>6.4219999999999997</v>
      </c>
      <c r="K62" s="1">
        <v>0.12</v>
      </c>
      <c r="L62" s="1">
        <v>14.359</v>
      </c>
      <c r="M62" s="1">
        <v>22.373999999999999</v>
      </c>
      <c r="N62" s="1">
        <v>0.36899999999999999</v>
      </c>
      <c r="O62" s="1">
        <v>0</v>
      </c>
      <c r="P62" s="1"/>
      <c r="Q62" s="10">
        <v>0</v>
      </c>
      <c r="R62" s="9">
        <v>1.8439677260342699</v>
      </c>
      <c r="S62" s="9">
        <v>4.1898943462336899E-2</v>
      </c>
      <c r="T62" s="9">
        <v>0.19871192276389901</v>
      </c>
      <c r="U62" s="9">
        <v>1.6996217647796501E-2</v>
      </c>
      <c r="V62" s="9">
        <v>0.199747598437617</v>
      </c>
      <c r="W62" s="9">
        <v>0.89160740457085097</v>
      </c>
      <c r="X62" s="9">
        <v>0.79626419413043703</v>
      </c>
      <c r="Y62" s="9">
        <v>3.7803159585102801E-3</v>
      </c>
      <c r="Z62" s="9">
        <v>0</v>
      </c>
      <c r="AA62" s="9">
        <v>0</v>
      </c>
      <c r="AB62" s="9">
        <v>2.6609874583653201E-2</v>
      </c>
      <c r="AC62" s="16"/>
      <c r="AD62" s="11">
        <v>79.945257683887405</v>
      </c>
      <c r="AE62" s="27">
        <v>0.15603227396573005</v>
      </c>
      <c r="AF62" s="28">
        <v>1.695152254046443E-2</v>
      </c>
      <c r="AG62" s="2">
        <v>35.754583921015502</v>
      </c>
      <c r="AH62" s="26">
        <v>473.52243041992188</v>
      </c>
      <c r="AI62" s="29">
        <v>2.7933917398250916</v>
      </c>
      <c r="AJ62" s="3">
        <v>-1</v>
      </c>
      <c r="AK62" s="13" t="s">
        <v>29</v>
      </c>
    </row>
    <row r="63" spans="1:37" s="5" customFormat="1">
      <c r="A63" s="14" t="s">
        <v>27</v>
      </c>
      <c r="B63" s="14" t="s">
        <v>28</v>
      </c>
      <c r="C63" s="14" t="s">
        <v>24</v>
      </c>
      <c r="D63" s="14" t="s">
        <v>25</v>
      </c>
      <c r="E63" s="14" t="s">
        <v>85</v>
      </c>
      <c r="F63" s="1">
        <v>50.307000000000002</v>
      </c>
      <c r="G63" s="1">
        <v>1.4850000000000001</v>
      </c>
      <c r="H63" s="1">
        <v>4.3819999999999997</v>
      </c>
      <c r="I63" s="1">
        <v>0.78700000000000003</v>
      </c>
      <c r="J63" s="1">
        <v>6.5540000000000003</v>
      </c>
      <c r="K63" s="1">
        <v>0.14599999999999999</v>
      </c>
      <c r="L63" s="1">
        <v>14.473000000000001</v>
      </c>
      <c r="M63" s="1">
        <v>21.75</v>
      </c>
      <c r="N63" s="1">
        <v>0.42599999999999999</v>
      </c>
      <c r="O63" s="1">
        <v>0</v>
      </c>
      <c r="P63" s="1"/>
      <c r="Q63" s="12">
        <v>0.03</v>
      </c>
      <c r="R63" s="9">
        <v>1.8581086126038</v>
      </c>
      <c r="S63" s="9">
        <v>4.12431925017131E-2</v>
      </c>
      <c r="T63" s="9">
        <v>0.19074147776240599</v>
      </c>
      <c r="U63" s="9">
        <v>2.29791384073894E-2</v>
      </c>
      <c r="V63" s="9">
        <v>0.20241946164622401</v>
      </c>
      <c r="W63" s="9">
        <v>0.86064461794946101</v>
      </c>
      <c r="X63" s="9">
        <v>0.79694090171651599</v>
      </c>
      <c r="Y63" s="9">
        <v>4.56703429188496E-3</v>
      </c>
      <c r="Z63" s="9">
        <v>8.9131537111289004E-4</v>
      </c>
      <c r="AA63" s="9">
        <v>0</v>
      </c>
      <c r="AB63" s="9">
        <v>3.05042691181539E-2</v>
      </c>
      <c r="AC63" s="16"/>
      <c r="AD63" s="11">
        <v>79.745098058011394</v>
      </c>
      <c r="AE63" s="27">
        <v>0.1418913873962</v>
      </c>
      <c r="AF63" s="28">
        <v>1.5949136328924262E-2</v>
      </c>
      <c r="AG63" s="2">
        <v>48.901873866612902</v>
      </c>
      <c r="AH63" s="26">
        <v>287.3763427734375</v>
      </c>
      <c r="AI63" s="29">
        <v>1.8018301232542067</v>
      </c>
      <c r="AJ63" s="3">
        <v>-1</v>
      </c>
      <c r="AK63" s="13" t="s">
        <v>29</v>
      </c>
    </row>
    <row r="64" spans="1:37" s="5" customFormat="1">
      <c r="A64" s="14" t="s">
        <v>27</v>
      </c>
      <c r="B64" s="14" t="s">
        <v>28</v>
      </c>
      <c r="C64" s="14" t="s">
        <v>24</v>
      </c>
      <c r="D64" s="14" t="s">
        <v>25</v>
      </c>
      <c r="E64" s="14" t="s">
        <v>86</v>
      </c>
      <c r="F64" s="1">
        <v>51.17</v>
      </c>
      <c r="G64" s="1">
        <v>1.4870000000000001</v>
      </c>
      <c r="H64" s="1">
        <v>3.165</v>
      </c>
      <c r="I64" s="1">
        <v>0.2</v>
      </c>
      <c r="J64" s="1">
        <v>7.218</v>
      </c>
      <c r="K64" s="1">
        <v>0.123</v>
      </c>
      <c r="L64" s="1">
        <v>14.737</v>
      </c>
      <c r="M64" s="1">
        <v>21.623000000000001</v>
      </c>
      <c r="N64" s="1">
        <v>0.30599999999999999</v>
      </c>
      <c r="O64" s="1">
        <v>0</v>
      </c>
      <c r="P64" s="1"/>
      <c r="Q64" s="12">
        <v>1.4E-2</v>
      </c>
      <c r="R64" s="9">
        <v>1.8952846032464199</v>
      </c>
      <c r="S64" s="9">
        <v>4.1414567544501901E-2</v>
      </c>
      <c r="T64" s="9">
        <v>0.13815379676880599</v>
      </c>
      <c r="U64" s="9">
        <v>5.8560576696380902E-3</v>
      </c>
      <c r="V64" s="9">
        <v>0.22355225078065599</v>
      </c>
      <c r="W64" s="9">
        <v>0.858018960349894</v>
      </c>
      <c r="X64" s="9">
        <v>0.81375370504797695</v>
      </c>
      <c r="Y64" s="9">
        <v>3.8583610865362901E-3</v>
      </c>
      <c r="Z64" s="9">
        <v>4.1711376091142901E-4</v>
      </c>
      <c r="AA64" s="9">
        <v>0</v>
      </c>
      <c r="AB64" s="9">
        <v>2.1972971469038999E-2</v>
      </c>
      <c r="AC64" s="16"/>
      <c r="AD64" s="11">
        <v>78.448764366529105</v>
      </c>
      <c r="AE64" s="27">
        <v>0.1047153967535801</v>
      </c>
      <c r="AF64" s="28">
        <v>1.2558357717697829E-2</v>
      </c>
      <c r="AG64" s="2">
        <v>47.881277978782101</v>
      </c>
      <c r="AH64" s="26">
        <v>373.63946533203119</v>
      </c>
      <c r="AI64" s="29">
        <v>2.9752255329172606</v>
      </c>
      <c r="AJ64" s="3">
        <v>-1</v>
      </c>
      <c r="AK64" s="13" t="s">
        <v>29</v>
      </c>
    </row>
    <row r="65" spans="1:37" s="5" customFormat="1">
      <c r="A65" s="14" t="s">
        <v>50</v>
      </c>
      <c r="B65" s="14" t="s">
        <v>51</v>
      </c>
      <c r="C65" s="14" t="s">
        <v>24</v>
      </c>
      <c r="D65" s="14" t="s">
        <v>25</v>
      </c>
      <c r="E65" s="14" t="s">
        <v>52</v>
      </c>
      <c r="F65" s="1">
        <v>50.81</v>
      </c>
      <c r="G65" s="1">
        <v>1.01</v>
      </c>
      <c r="H65" s="1">
        <v>5.94</v>
      </c>
      <c r="I65" s="1">
        <v>1.02</v>
      </c>
      <c r="J65" s="1">
        <v>4.1100000000000003</v>
      </c>
      <c r="K65" s="1">
        <v>0.14000000000000001</v>
      </c>
      <c r="L65" s="1">
        <v>14.98</v>
      </c>
      <c r="M65" s="1">
        <v>20.13</v>
      </c>
      <c r="N65" s="1">
        <v>1.1100000000000001</v>
      </c>
      <c r="O65" s="1"/>
      <c r="P65" s="1"/>
      <c r="Q65" s="12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16"/>
      <c r="AD65" s="11">
        <v>86.661266961696597</v>
      </c>
      <c r="AE65" s="30">
        <v>0.13402537263695002</v>
      </c>
      <c r="AF65" s="30">
        <v>0.13402537263695002</v>
      </c>
      <c r="AG65" s="2">
        <v>51</v>
      </c>
      <c r="AH65" s="26">
        <v>166.0196533203125</v>
      </c>
      <c r="AI65" s="29">
        <v>1.0229482619867933</v>
      </c>
      <c r="AJ65" s="3">
        <v>-1</v>
      </c>
      <c r="AK65" s="13" t="s">
        <v>53</v>
      </c>
    </row>
    <row r="66" spans="1:37" s="5" customFormat="1">
      <c r="A66" s="14" t="s">
        <v>50</v>
      </c>
      <c r="B66" s="14" t="s">
        <v>51</v>
      </c>
      <c r="C66" s="14" t="s">
        <v>24</v>
      </c>
      <c r="D66" s="14" t="s">
        <v>25</v>
      </c>
      <c r="E66" s="14" t="s">
        <v>52</v>
      </c>
      <c r="F66" s="1">
        <v>51.01</v>
      </c>
      <c r="G66" s="1">
        <v>1.02</v>
      </c>
      <c r="H66" s="1">
        <v>5.94</v>
      </c>
      <c r="I66" s="1">
        <v>0.99</v>
      </c>
      <c r="J66" s="1">
        <v>4.1100000000000003</v>
      </c>
      <c r="K66" s="1">
        <v>0.13</v>
      </c>
      <c r="L66" s="1">
        <v>14.94</v>
      </c>
      <c r="M66" s="1">
        <v>20.13</v>
      </c>
      <c r="N66" s="1">
        <v>1.1000000000000001</v>
      </c>
      <c r="O66" s="1"/>
      <c r="P66" s="1"/>
      <c r="Q66" s="12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16"/>
      <c r="AD66" s="11">
        <v>86.630328840426799</v>
      </c>
      <c r="AE66" s="30">
        <v>0.13013312770041008</v>
      </c>
      <c r="AF66" s="30">
        <v>0.13013312770041008</v>
      </c>
      <c r="AG66" s="2">
        <v>54</v>
      </c>
      <c r="AH66" s="26">
        <v>161.978515625</v>
      </c>
      <c r="AI66" s="29">
        <v>1.022127417169991</v>
      </c>
      <c r="AJ66" s="3">
        <v>-1</v>
      </c>
      <c r="AK66" s="13" t="s">
        <v>53</v>
      </c>
    </row>
    <row r="67" spans="1:37" s="5" customFormat="1">
      <c r="A67" s="23" t="s">
        <v>50</v>
      </c>
      <c r="B67" s="14" t="s">
        <v>51</v>
      </c>
      <c r="C67" s="14" t="s">
        <v>24</v>
      </c>
      <c r="D67" s="14" t="s">
        <v>25</v>
      </c>
      <c r="E67" s="14" t="s">
        <v>52</v>
      </c>
      <c r="F67" s="1">
        <v>51.17</v>
      </c>
      <c r="G67" s="1">
        <v>1.03</v>
      </c>
      <c r="H67" s="1">
        <v>5.9</v>
      </c>
      <c r="I67" s="1">
        <v>0.95</v>
      </c>
      <c r="J67" s="1">
        <v>4.04</v>
      </c>
      <c r="K67" s="1">
        <v>0.13</v>
      </c>
      <c r="L67" s="1">
        <v>15.13</v>
      </c>
      <c r="M67" s="1">
        <v>20.100000000000001</v>
      </c>
      <c r="N67" s="1">
        <v>1.04</v>
      </c>
      <c r="O67" s="1"/>
      <c r="P67" s="1"/>
      <c r="Q67" s="12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16"/>
      <c r="AD67" s="11">
        <v>86.971903922835097</v>
      </c>
      <c r="AE67" s="30">
        <v>0.12828538916157006</v>
      </c>
      <c r="AF67" s="30">
        <v>0.12828538916157006</v>
      </c>
      <c r="AG67" s="2">
        <v>55</v>
      </c>
      <c r="AH67" s="26">
        <v>157.228271484375</v>
      </c>
      <c r="AI67" s="29">
        <v>1.0012631645137795</v>
      </c>
      <c r="AJ67" s="3">
        <v>-1</v>
      </c>
      <c r="AK67" s="13" t="s">
        <v>53</v>
      </c>
    </row>
    <row r="68" spans="1:37" s="5" customFormat="1">
      <c r="A68" s="23" t="s">
        <v>50</v>
      </c>
      <c r="B68" s="14" t="s">
        <v>51</v>
      </c>
      <c r="C68" s="14" t="s">
        <v>24</v>
      </c>
      <c r="D68" s="14" t="s">
        <v>25</v>
      </c>
      <c r="E68" s="14" t="s">
        <v>52</v>
      </c>
      <c r="F68" s="1">
        <v>50.67</v>
      </c>
      <c r="G68" s="1">
        <v>0.65</v>
      </c>
      <c r="H68" s="1">
        <v>5.87</v>
      </c>
      <c r="I68" s="1">
        <v>1.1599999999999999</v>
      </c>
      <c r="J68" s="1">
        <v>4</v>
      </c>
      <c r="K68" s="1">
        <v>0.09</v>
      </c>
      <c r="L68" s="1">
        <v>15.36</v>
      </c>
      <c r="M68" s="1">
        <v>21.75</v>
      </c>
      <c r="N68" s="1">
        <v>0.41</v>
      </c>
      <c r="O68" s="1"/>
      <c r="P68" s="1"/>
      <c r="Q68" s="12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16"/>
      <c r="AD68" s="11">
        <v>87.252982172923396</v>
      </c>
      <c r="AE68" s="30">
        <v>0.1472179424151201</v>
      </c>
      <c r="AF68" s="30">
        <v>0.1472179424151201</v>
      </c>
      <c r="AG68" s="2">
        <v>54</v>
      </c>
      <c r="AH68" s="26">
        <v>255.88346862792969</v>
      </c>
      <c r="AI68" s="29">
        <v>1.5366352018948017</v>
      </c>
      <c r="AJ68" s="3">
        <v>-1</v>
      </c>
      <c r="AK68" s="13" t="s">
        <v>53</v>
      </c>
    </row>
    <row r="69" spans="1:37" s="5" customFormat="1">
      <c r="A69" s="23" t="s">
        <v>50</v>
      </c>
      <c r="B69" s="14" t="s">
        <v>51</v>
      </c>
      <c r="C69" s="14" t="s">
        <v>24</v>
      </c>
      <c r="D69" s="14" t="s">
        <v>25</v>
      </c>
      <c r="E69" s="14" t="s">
        <v>87</v>
      </c>
      <c r="F69" s="1">
        <v>51.1</v>
      </c>
      <c r="G69" s="1">
        <v>0.52</v>
      </c>
      <c r="H69" s="1">
        <v>6.12</v>
      </c>
      <c r="I69" s="1">
        <v>1.28</v>
      </c>
      <c r="J69" s="1">
        <v>4.0599999999999996</v>
      </c>
      <c r="K69" s="1">
        <v>0.12</v>
      </c>
      <c r="L69" s="1">
        <v>15.27</v>
      </c>
      <c r="M69" s="1">
        <v>19.5</v>
      </c>
      <c r="N69" s="1">
        <v>1.17</v>
      </c>
      <c r="O69" s="1"/>
      <c r="P69" s="1"/>
      <c r="Q69" s="12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16"/>
      <c r="AD69" s="11">
        <v>87.020236121991701</v>
      </c>
      <c r="AE69" s="30">
        <v>0.12596619963717992</v>
      </c>
      <c r="AF69" s="30">
        <v>0.12596619963717992</v>
      </c>
      <c r="AG69" s="2">
        <v>62</v>
      </c>
      <c r="AH69" s="26">
        <v>142.400634765625</v>
      </c>
      <c r="AI69" s="29">
        <v>0.90101156302416008</v>
      </c>
      <c r="AJ69" s="3">
        <v>-1</v>
      </c>
      <c r="AK69" s="13" t="s">
        <v>53</v>
      </c>
    </row>
    <row r="70" spans="1:37" s="5" customFormat="1">
      <c r="A70" s="23" t="s">
        <v>50</v>
      </c>
      <c r="B70" s="14" t="s">
        <v>51</v>
      </c>
      <c r="C70" s="14" t="s">
        <v>24</v>
      </c>
      <c r="D70" s="14" t="s">
        <v>25</v>
      </c>
      <c r="E70" s="14" t="s">
        <v>88</v>
      </c>
      <c r="F70" s="1">
        <v>51.08</v>
      </c>
      <c r="G70" s="1">
        <v>1.35</v>
      </c>
      <c r="H70" s="1">
        <v>4.0999999999999996</v>
      </c>
      <c r="I70" s="1">
        <v>1.1000000000000001</v>
      </c>
      <c r="J70" s="1">
        <v>4.1900000000000004</v>
      </c>
      <c r="K70" s="1">
        <v>0.09</v>
      </c>
      <c r="L70" s="1">
        <v>16.46</v>
      </c>
      <c r="M70" s="1">
        <v>20.36</v>
      </c>
      <c r="N70" s="1">
        <v>0.47</v>
      </c>
      <c r="O70" s="1"/>
      <c r="P70" s="1"/>
      <c r="Q70" s="12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16"/>
      <c r="AD70" s="11">
        <v>87.503984396547693</v>
      </c>
      <c r="AE70" s="30">
        <v>0.1212538655281501</v>
      </c>
      <c r="AF70" s="30">
        <v>0.1212538655281501</v>
      </c>
      <c r="AG70" s="2">
        <v>86</v>
      </c>
      <c r="AH70" s="26">
        <v>160.3825378417969</v>
      </c>
      <c r="AI70" s="29">
        <v>1.0848364125640719</v>
      </c>
      <c r="AJ70" s="3">
        <v>-1</v>
      </c>
      <c r="AK70" s="13" t="s">
        <v>53</v>
      </c>
    </row>
    <row r="71" spans="1:37" s="5" customFormat="1">
      <c r="A71" s="23" t="s">
        <v>50</v>
      </c>
      <c r="B71" s="14" t="s">
        <v>51</v>
      </c>
      <c r="C71" s="14" t="s">
        <v>24</v>
      </c>
      <c r="D71" s="14" t="s">
        <v>25</v>
      </c>
      <c r="E71" s="14" t="s">
        <v>52</v>
      </c>
      <c r="F71" s="1">
        <v>50.65</v>
      </c>
      <c r="G71" s="1">
        <v>1</v>
      </c>
      <c r="H71" s="1">
        <v>5.88</v>
      </c>
      <c r="I71" s="1">
        <v>0.95</v>
      </c>
      <c r="J71" s="1">
        <v>4.01</v>
      </c>
      <c r="K71" s="1">
        <v>0.12</v>
      </c>
      <c r="L71" s="1">
        <v>14.86</v>
      </c>
      <c r="M71" s="1">
        <v>20.28</v>
      </c>
      <c r="N71" s="1">
        <v>1.04</v>
      </c>
      <c r="O71" s="1"/>
      <c r="P71" s="1"/>
      <c r="Q71" s="12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16"/>
      <c r="AD71" s="11">
        <v>86.851862492070481</v>
      </c>
      <c r="AE71" s="30">
        <v>0.13177450759205001</v>
      </c>
      <c r="AF71" s="30">
        <v>0.13177450759205001</v>
      </c>
      <c r="AG71" s="2">
        <v>32</v>
      </c>
      <c r="AH71" s="26">
        <v>155.61994934082031</v>
      </c>
      <c r="AI71" s="29">
        <v>0.98217959167776447</v>
      </c>
      <c r="AJ71" s="3">
        <v>-1</v>
      </c>
      <c r="AK71" s="13" t="s">
        <v>53</v>
      </c>
    </row>
    <row r="72" spans="1:37" s="5" customFormat="1">
      <c r="A72" s="23" t="s">
        <v>50</v>
      </c>
      <c r="B72" s="14" t="s">
        <v>51</v>
      </c>
      <c r="C72" s="14" t="s">
        <v>24</v>
      </c>
      <c r="D72" s="14" t="s">
        <v>25</v>
      </c>
      <c r="E72" s="14" t="s">
        <v>52</v>
      </c>
      <c r="F72" s="1">
        <v>51.11</v>
      </c>
      <c r="G72" s="1">
        <v>0.5</v>
      </c>
      <c r="H72" s="1">
        <v>4.33</v>
      </c>
      <c r="I72" s="1">
        <v>1.07</v>
      </c>
      <c r="J72" s="1">
        <v>3.8</v>
      </c>
      <c r="K72" s="1">
        <v>0.1</v>
      </c>
      <c r="L72" s="1">
        <v>15.94</v>
      </c>
      <c r="M72" s="1">
        <v>21.64</v>
      </c>
      <c r="N72" s="1">
        <v>0.38</v>
      </c>
      <c r="O72" s="1"/>
      <c r="P72" s="1"/>
      <c r="Q72" s="12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16"/>
      <c r="AD72" s="11">
        <v>88.203800328312923</v>
      </c>
      <c r="AE72" s="30">
        <v>0.1125519391109</v>
      </c>
      <c r="AF72" s="30">
        <v>0.1125519391109</v>
      </c>
      <c r="AG72" s="2">
        <v>45</v>
      </c>
      <c r="AH72" s="26">
        <v>199.4833984375</v>
      </c>
      <c r="AI72" s="29">
        <v>1.5068945511924321</v>
      </c>
      <c r="AJ72" s="3">
        <v>-1</v>
      </c>
      <c r="AK72" s="13" t="s">
        <v>53</v>
      </c>
    </row>
    <row r="73" spans="1:37" s="5" customFormat="1">
      <c r="A73" s="23" t="s">
        <v>50</v>
      </c>
      <c r="B73" s="14" t="s">
        <v>51</v>
      </c>
      <c r="C73" s="14" t="s">
        <v>24</v>
      </c>
      <c r="D73" s="14" t="s">
        <v>25</v>
      </c>
      <c r="E73" s="14" t="s">
        <v>52</v>
      </c>
      <c r="F73" s="1">
        <v>49.58</v>
      </c>
      <c r="G73" s="1">
        <v>0.73</v>
      </c>
      <c r="H73" s="1">
        <v>6.27</v>
      </c>
      <c r="I73" s="1">
        <v>1.41</v>
      </c>
      <c r="J73" s="1">
        <v>4.08</v>
      </c>
      <c r="K73" s="1">
        <v>0.09</v>
      </c>
      <c r="L73" s="1">
        <v>14.95</v>
      </c>
      <c r="M73" s="1">
        <v>21.6</v>
      </c>
      <c r="N73" s="1">
        <v>0.4</v>
      </c>
      <c r="O73" s="1"/>
      <c r="P73" s="1"/>
      <c r="Q73" s="12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16"/>
      <c r="AD73" s="11">
        <v>86.722659409868541</v>
      </c>
      <c r="AE73" s="30">
        <v>0.16729431386794991</v>
      </c>
      <c r="AF73" s="30">
        <v>0.16729431386794991</v>
      </c>
      <c r="AG73" s="2">
        <v>38</v>
      </c>
      <c r="AH73" s="26">
        <v>273.00445556640619</v>
      </c>
      <c r="AI73" s="29">
        <v>1.443717045295686</v>
      </c>
      <c r="AJ73" s="3">
        <v>-1</v>
      </c>
      <c r="AK73" s="13" t="s">
        <v>53</v>
      </c>
    </row>
    <row r="74" spans="1:37" s="5" customFormat="1">
      <c r="A74" s="23" t="s">
        <v>50</v>
      </c>
      <c r="B74" s="14" t="s">
        <v>51</v>
      </c>
      <c r="C74" s="14" t="s">
        <v>24</v>
      </c>
      <c r="D74" s="14" t="s">
        <v>25</v>
      </c>
      <c r="E74" s="14" t="s">
        <v>52</v>
      </c>
      <c r="F74" s="1">
        <v>49.75</v>
      </c>
      <c r="G74" s="1">
        <v>0.71</v>
      </c>
      <c r="H74" s="1">
        <v>6.2</v>
      </c>
      <c r="I74" s="1">
        <v>1.32</v>
      </c>
      <c r="J74" s="1">
        <v>4.13</v>
      </c>
      <c r="K74" s="1">
        <v>0.1</v>
      </c>
      <c r="L74" s="1">
        <v>14.88</v>
      </c>
      <c r="M74" s="1">
        <v>21.74</v>
      </c>
      <c r="N74" s="1">
        <v>0.42</v>
      </c>
      <c r="O74" s="1"/>
      <c r="P74" s="1"/>
      <c r="Q74" s="12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16"/>
      <c r="AD74" s="11">
        <v>86.527161184876363</v>
      </c>
      <c r="AE74" s="30">
        <v>0.1632146397076899</v>
      </c>
      <c r="AF74" s="30">
        <v>0.1632146397076899</v>
      </c>
      <c r="AG74" s="2">
        <v>22</v>
      </c>
      <c r="AH74" s="26">
        <v>259.84329223632813</v>
      </c>
      <c r="AI74" s="29">
        <v>1.4174256503313318</v>
      </c>
      <c r="AJ74" s="3">
        <v>-1</v>
      </c>
      <c r="AK74" s="13" t="s">
        <v>53</v>
      </c>
    </row>
    <row r="75" spans="1:37" s="5" customFormat="1">
      <c r="A75" s="23" t="s">
        <v>50</v>
      </c>
      <c r="B75" s="14" t="s">
        <v>51</v>
      </c>
      <c r="C75" s="14" t="s">
        <v>24</v>
      </c>
      <c r="D75" s="14" t="s">
        <v>25</v>
      </c>
      <c r="E75" s="14" t="s">
        <v>52</v>
      </c>
      <c r="F75" s="1">
        <v>50.3</v>
      </c>
      <c r="G75" s="1">
        <v>0.69</v>
      </c>
      <c r="H75" s="1">
        <v>6.15</v>
      </c>
      <c r="I75" s="1">
        <v>1.3</v>
      </c>
      <c r="J75" s="1">
        <v>4.04</v>
      </c>
      <c r="K75" s="1">
        <v>0.09</v>
      </c>
      <c r="L75" s="1">
        <v>14.98</v>
      </c>
      <c r="M75" s="1">
        <v>21.66</v>
      </c>
      <c r="N75" s="1">
        <v>0.36</v>
      </c>
      <c r="O75" s="1"/>
      <c r="P75" s="1"/>
      <c r="Q75" s="12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16"/>
      <c r="AD75" s="11">
        <v>86.858592632120335</v>
      </c>
      <c r="AE75" s="30">
        <v>0.15290233263595998</v>
      </c>
      <c r="AF75" s="30">
        <v>0.15290233263595998</v>
      </c>
      <c r="AG75" s="2">
        <v>15</v>
      </c>
      <c r="AH75" s="26">
        <v>295.42916870117188</v>
      </c>
      <c r="AI75" s="29">
        <v>1.7099206932138089</v>
      </c>
      <c r="AJ75" s="3">
        <v>-1</v>
      </c>
      <c r="AK75" s="13" t="s">
        <v>53</v>
      </c>
    </row>
    <row r="76" spans="1:37" s="5" customFormat="1">
      <c r="A76" s="23" t="s">
        <v>36</v>
      </c>
      <c r="B76" s="14" t="s">
        <v>37</v>
      </c>
      <c r="C76" s="14" t="s">
        <v>24</v>
      </c>
      <c r="D76" s="14" t="s">
        <v>25</v>
      </c>
      <c r="E76" s="14" t="s">
        <v>46</v>
      </c>
      <c r="F76" s="1">
        <v>52.211599999999997</v>
      </c>
      <c r="G76" s="1">
        <v>0.47775000000000001</v>
      </c>
      <c r="H76" s="1">
        <v>6.8629499999999997</v>
      </c>
      <c r="I76" s="1">
        <v>0.29699999999999999</v>
      </c>
      <c r="J76" s="1">
        <v>6.5740499999999997</v>
      </c>
      <c r="K76" s="1">
        <v>0.33605000000000002</v>
      </c>
      <c r="L76" s="1">
        <v>16.9436</v>
      </c>
      <c r="M76" s="1">
        <v>14.29955</v>
      </c>
      <c r="N76" s="1">
        <v>1.3274999999999999</v>
      </c>
      <c r="O76" s="1">
        <v>8.9749999999999996E-2</v>
      </c>
      <c r="P76" s="1"/>
      <c r="Q76" s="12">
        <v>0.37774999999999997</v>
      </c>
      <c r="R76" s="9">
        <v>1.89132692318613</v>
      </c>
      <c r="S76" s="9">
        <v>1.73061434154895E-2</v>
      </c>
      <c r="T76" s="9">
        <v>0.29298172410831602</v>
      </c>
      <c r="U76" s="9">
        <v>8.5049621204543006E-3</v>
      </c>
      <c r="V76" s="9">
        <v>0.199129570505609</v>
      </c>
      <c r="W76" s="9">
        <v>0.55493726871696103</v>
      </c>
      <c r="X76" s="9">
        <v>0.91501912340893099</v>
      </c>
      <c r="Y76" s="9">
        <v>1.03154265534508E-2</v>
      </c>
      <c r="Z76" s="9">
        <v>1.1007065230613001E-2</v>
      </c>
      <c r="AA76" s="9">
        <v>0</v>
      </c>
      <c r="AB76" s="9">
        <v>9.3227165527777905E-2</v>
      </c>
      <c r="AC76" s="16"/>
      <c r="AD76" s="11">
        <v>82.1271997541037</v>
      </c>
      <c r="AE76" s="27">
        <v>0.10869186840852008</v>
      </c>
      <c r="AF76" s="27">
        <v>0.10869186840852008</v>
      </c>
      <c r="AG76" s="2">
        <v>98</v>
      </c>
      <c r="AH76" s="26">
        <v>315.34039306640619</v>
      </c>
      <c r="AI76" s="29">
        <v>1.8073231519337072</v>
      </c>
      <c r="AJ76" s="3">
        <v>-1</v>
      </c>
      <c r="AK76" s="13" t="s">
        <v>38</v>
      </c>
    </row>
    <row r="77" spans="1:37" s="5" customFormat="1">
      <c r="A77" s="23" t="s">
        <v>36</v>
      </c>
      <c r="B77" s="14" t="s">
        <v>37</v>
      </c>
      <c r="C77" s="14" t="s">
        <v>24</v>
      </c>
      <c r="D77" s="14" t="s">
        <v>25</v>
      </c>
      <c r="E77" s="14" t="s">
        <v>47</v>
      </c>
      <c r="F77" s="1">
        <v>51.8523</v>
      </c>
      <c r="G77" s="1">
        <v>0.62044999999999995</v>
      </c>
      <c r="H77" s="1">
        <v>7.12425</v>
      </c>
      <c r="I77" s="1">
        <v>0.18160000000000001</v>
      </c>
      <c r="J77" s="1">
        <v>7.5989000000000004</v>
      </c>
      <c r="K77" s="1">
        <v>0.32874999999999999</v>
      </c>
      <c r="L77" s="1">
        <v>15.414999999999999</v>
      </c>
      <c r="M77" s="1">
        <v>14.3856</v>
      </c>
      <c r="N77" s="1">
        <v>1.5179</v>
      </c>
      <c r="O77" s="1">
        <v>9.2249999999999999E-2</v>
      </c>
      <c r="P77" s="1"/>
      <c r="Q77" s="12">
        <v>0.37914999999999999</v>
      </c>
      <c r="R77" s="9">
        <v>1.89348751048913</v>
      </c>
      <c r="S77" s="9">
        <v>2.2656937607068099E-2</v>
      </c>
      <c r="T77" s="9">
        <v>0.30659400861493602</v>
      </c>
      <c r="U77" s="9">
        <v>5.2423570361955002E-3</v>
      </c>
      <c r="V77" s="9">
        <v>0.23203222289601599</v>
      </c>
      <c r="W77" s="9">
        <v>0.56278733975770401</v>
      </c>
      <c r="X77" s="9">
        <v>0.83919488229584205</v>
      </c>
      <c r="Y77" s="9">
        <v>1.01728787947709E-2</v>
      </c>
      <c r="Z77" s="9">
        <v>1.1137121168435101E-2</v>
      </c>
      <c r="AA77" s="9">
        <v>0</v>
      </c>
      <c r="AB77" s="9">
        <v>0.107459775399754</v>
      </c>
      <c r="AC77" s="16"/>
      <c r="AD77" s="11">
        <v>78.339586277135993</v>
      </c>
      <c r="AE77" s="27">
        <v>0.10659088924118998</v>
      </c>
      <c r="AF77" s="27">
        <v>0.10659088924118998</v>
      </c>
      <c r="AG77" s="2">
        <v>181</v>
      </c>
      <c r="AH77" s="26">
        <v>293.0555419921875</v>
      </c>
      <c r="AI77" s="29">
        <v>1.7163647448313706</v>
      </c>
      <c r="AJ77" s="3">
        <v>-1</v>
      </c>
      <c r="AK77" s="13" t="s">
        <v>38</v>
      </c>
    </row>
    <row r="78" spans="1:37" s="5" customFormat="1">
      <c r="A78" s="23" t="s">
        <v>36</v>
      </c>
      <c r="B78" s="14" t="s">
        <v>37</v>
      </c>
      <c r="C78" s="14" t="s">
        <v>24</v>
      </c>
      <c r="D78" s="14" t="s">
        <v>25</v>
      </c>
      <c r="E78" s="14" t="s">
        <v>48</v>
      </c>
      <c r="F78" s="1">
        <v>51.744950000000003</v>
      </c>
      <c r="G78" s="1">
        <v>0.51505000000000001</v>
      </c>
      <c r="H78" s="1">
        <v>7.4765249999999996</v>
      </c>
      <c r="I78" s="1">
        <v>2.92E-2</v>
      </c>
      <c r="J78" s="1">
        <v>8.3096750000000004</v>
      </c>
      <c r="K78" s="1">
        <v>0.15884999999999999</v>
      </c>
      <c r="L78" s="1">
        <v>15.186925</v>
      </c>
      <c r="M78" s="1">
        <v>14.6134</v>
      </c>
      <c r="N78" s="1">
        <v>1.672625</v>
      </c>
      <c r="O78" s="1">
        <v>1.0999999999999999E-2</v>
      </c>
      <c r="P78" s="1"/>
      <c r="Q78" s="12">
        <v>0.36998379035824902</v>
      </c>
      <c r="R78" s="9">
        <v>1.88367383858556</v>
      </c>
      <c r="S78" s="9">
        <v>1.8749389274962999E-2</v>
      </c>
      <c r="T78" s="9">
        <v>0.320750703211577</v>
      </c>
      <c r="U78" s="9">
        <v>8.4030494185749504E-4</v>
      </c>
      <c r="V78" s="9">
        <v>0.252944315853736</v>
      </c>
      <c r="W78" s="9">
        <v>0.56991609957757505</v>
      </c>
      <c r="X78" s="9">
        <v>0.82419971601095798</v>
      </c>
      <c r="Y78" s="9">
        <v>4.9001417397979002E-3</v>
      </c>
      <c r="Z78" s="9">
        <v>1.08339766770393E-2</v>
      </c>
      <c r="AA78" s="9">
        <v>0</v>
      </c>
      <c r="AB78" s="9">
        <v>0.118044203451018</v>
      </c>
      <c r="AC78" s="16"/>
      <c r="AD78" s="11">
        <v>76.517131565418197</v>
      </c>
      <c r="AE78" s="27">
        <v>0.11225651105270007</v>
      </c>
      <c r="AF78" s="27">
        <v>0.11225651105270007</v>
      </c>
      <c r="AG78" s="2">
        <v>1E-3</v>
      </c>
      <c r="AH78" s="26">
        <v>269.21600341796881</v>
      </c>
      <c r="AI78" s="29">
        <v>1.5935216164775157</v>
      </c>
      <c r="AJ78" s="3">
        <v>-1</v>
      </c>
      <c r="AK78" s="13" t="s">
        <v>38</v>
      </c>
    </row>
    <row r="79" spans="1:37" s="5" customFormat="1">
      <c r="A79" s="23" t="s">
        <v>36</v>
      </c>
      <c r="B79" s="14" t="s">
        <v>37</v>
      </c>
      <c r="C79" s="14" t="s">
        <v>24</v>
      </c>
      <c r="D79" s="14" t="s">
        <v>25</v>
      </c>
      <c r="E79" s="14" t="s">
        <v>49</v>
      </c>
      <c r="F79" s="1">
        <v>50.961526315789499</v>
      </c>
      <c r="G79" s="1">
        <v>0.79215789473684195</v>
      </c>
      <c r="H79" s="1">
        <v>7.0922105263157897</v>
      </c>
      <c r="I79" s="1">
        <v>0.17394736842105299</v>
      </c>
      <c r="J79" s="1">
        <v>8.0396842105263193</v>
      </c>
      <c r="K79" s="1">
        <v>0.312105263157895</v>
      </c>
      <c r="L79" s="1">
        <v>13.7460526315789</v>
      </c>
      <c r="M79" s="1">
        <v>15.3815263157895</v>
      </c>
      <c r="N79" s="1">
        <v>1.88221052631579</v>
      </c>
      <c r="O79" s="1">
        <v>9.52631578947368E-2</v>
      </c>
      <c r="P79" s="1"/>
      <c r="Q79" s="12">
        <v>0.354473684210526</v>
      </c>
      <c r="R79" s="9">
        <v>1.88761753458191</v>
      </c>
      <c r="S79" s="9">
        <v>2.9341568833652999E-2</v>
      </c>
      <c r="T79" s="9">
        <v>0.30958740780238603</v>
      </c>
      <c r="U79" s="9">
        <v>5.0933763891479597E-3</v>
      </c>
      <c r="V79" s="9">
        <v>0.24900823971625599</v>
      </c>
      <c r="W79" s="9">
        <v>0.610369646359748</v>
      </c>
      <c r="X79" s="9">
        <v>0.75905711671626597</v>
      </c>
      <c r="Y79" s="9">
        <v>9.7961709981721906E-3</v>
      </c>
      <c r="Z79" s="9">
        <v>1.05614376581014E-2</v>
      </c>
      <c r="AA79" s="9">
        <v>0</v>
      </c>
      <c r="AB79" s="9">
        <v>0.13515998092774001</v>
      </c>
      <c r="AC79" s="16"/>
      <c r="AD79" s="11">
        <v>75.298403210930701</v>
      </c>
      <c r="AE79" s="30">
        <v>0.11632616141443997</v>
      </c>
      <c r="AF79" s="30">
        <v>0.11632616141443997</v>
      </c>
      <c r="AG79" s="2">
        <v>61</v>
      </c>
      <c r="AH79" s="26">
        <v>278.201171875</v>
      </c>
      <c r="AI79" s="29">
        <v>1.5400273411096379</v>
      </c>
      <c r="AJ79" s="3">
        <v>-1</v>
      </c>
      <c r="AK79" s="13" t="s">
        <v>38</v>
      </c>
    </row>
    <row r="80" spans="1:37">
      <c r="A80" s="7" t="s">
        <v>100</v>
      </c>
      <c r="B80" s="14" t="s">
        <v>101</v>
      </c>
      <c r="C80" s="14" t="s">
        <v>24</v>
      </c>
      <c r="D80" s="14" t="s">
        <v>39</v>
      </c>
      <c r="E80" s="14" t="s">
        <v>119</v>
      </c>
      <c r="F80" s="1">
        <v>47.82</v>
      </c>
      <c r="G80" s="1">
        <v>2.44</v>
      </c>
      <c r="H80" s="1">
        <v>5.71</v>
      </c>
      <c r="I80" s="1">
        <v>0.04</v>
      </c>
      <c r="J80" s="1">
        <v>7.06</v>
      </c>
      <c r="K80" s="1">
        <v>0.11</v>
      </c>
      <c r="L80" s="1">
        <v>12.84</v>
      </c>
      <c r="M80" s="1">
        <v>22.52</v>
      </c>
      <c r="N80" s="1">
        <v>0.6</v>
      </c>
      <c r="O80" s="1">
        <v>0.01</v>
      </c>
      <c r="P80" s="1"/>
      <c r="Q80" s="12"/>
      <c r="R80" s="9">
        <v>1.8010872560556901</v>
      </c>
      <c r="S80" s="9">
        <v>6.9103198979625705E-2</v>
      </c>
      <c r="T80" s="9">
        <v>0.25344946722336997</v>
      </c>
      <c r="U80" s="9">
        <v>1.1909718719741399E-3</v>
      </c>
      <c r="V80" s="9">
        <v>0.222347901053042</v>
      </c>
      <c r="W80" s="9">
        <v>0.90868945181935301</v>
      </c>
      <c r="X80" s="9">
        <v>0.72096649599704798</v>
      </c>
      <c r="Y80" s="9">
        <v>3.5087837784408601E-3</v>
      </c>
      <c r="Z80" s="9"/>
      <c r="AA80" s="9">
        <v>4.8043451311058599E-4</v>
      </c>
      <c r="AB80" s="9">
        <v>4.3811162763811397E-2</v>
      </c>
      <c r="AC80" s="16"/>
      <c r="AD80" s="11">
        <f>X80/(X80+V80)*100</f>
        <v>76.429077967180078</v>
      </c>
      <c r="AE80" s="30">
        <v>0.1989336849499701</v>
      </c>
      <c r="AF80" s="30">
        <v>0.1989336849499701</v>
      </c>
      <c r="AG80" s="2">
        <v>78</v>
      </c>
      <c r="AH80" s="26">
        <v>362.12332153320313</v>
      </c>
      <c r="AI80" s="29">
        <v>1.6443769393674288</v>
      </c>
      <c r="AJ80" s="3">
        <v>-1</v>
      </c>
      <c r="AK80" s="13" t="s">
        <v>99</v>
      </c>
    </row>
    <row r="81" spans="1:37">
      <c r="A81" s="7" t="s">
        <v>100</v>
      </c>
      <c r="B81" s="14" t="s">
        <v>101</v>
      </c>
      <c r="C81" s="14" t="s">
        <v>24</v>
      </c>
      <c r="D81" s="14" t="s">
        <v>39</v>
      </c>
      <c r="E81" s="14" t="s">
        <v>118</v>
      </c>
      <c r="F81" s="1">
        <v>47.42</v>
      </c>
      <c r="G81" s="1">
        <v>2.48</v>
      </c>
      <c r="H81" s="1">
        <v>6.25</v>
      </c>
      <c r="I81" s="1">
        <v>0.02</v>
      </c>
      <c r="J81" s="1">
        <v>7.31</v>
      </c>
      <c r="K81" s="1">
        <v>0.17</v>
      </c>
      <c r="L81" s="1">
        <v>12.4</v>
      </c>
      <c r="M81" s="1">
        <v>22.67</v>
      </c>
      <c r="N81" s="1">
        <v>0.66</v>
      </c>
      <c r="O81" s="1">
        <v>0.01</v>
      </c>
      <c r="P81" s="1"/>
      <c r="Q81" s="12"/>
      <c r="R81" s="9">
        <v>1.78586714894167</v>
      </c>
      <c r="S81" s="9">
        <v>7.0229960532928501E-2</v>
      </c>
      <c r="T81" s="9">
        <v>0.27739441258693498</v>
      </c>
      <c r="U81" s="9">
        <v>5.9543440647081799E-4</v>
      </c>
      <c r="V81" s="9">
        <v>0.230201488419574</v>
      </c>
      <c r="W81" s="9">
        <v>0.91466284557480504</v>
      </c>
      <c r="X81" s="9">
        <v>0.69620022910434098</v>
      </c>
      <c r="Y81" s="9">
        <v>5.4221965968444903E-3</v>
      </c>
      <c r="Z81" s="9"/>
      <c r="AA81" s="9">
        <v>4.80392939403208E-4</v>
      </c>
      <c r="AB81" s="9">
        <v>4.8188108790861897E-2</v>
      </c>
      <c r="AC81" s="16"/>
      <c r="AD81" s="11">
        <f>X81/(X81+V81)*100</f>
        <v>75.151008027612889</v>
      </c>
      <c r="AE81" s="30">
        <v>0.21415164445493007</v>
      </c>
      <c r="AF81" s="30">
        <v>0.21415164445493007</v>
      </c>
      <c r="AG81" s="2">
        <v>94</v>
      </c>
      <c r="AH81" s="26">
        <v>351.1556396484375</v>
      </c>
      <c r="AI81" s="29">
        <v>1.4530496803786683</v>
      </c>
      <c r="AJ81" s="3">
        <v>-1</v>
      </c>
      <c r="AK81" s="13" t="s">
        <v>99</v>
      </c>
    </row>
    <row r="82" spans="1:37">
      <c r="A82" s="7" t="s">
        <v>100</v>
      </c>
      <c r="B82" s="14" t="s">
        <v>101</v>
      </c>
      <c r="C82" s="14" t="s">
        <v>24</v>
      </c>
      <c r="D82" s="14" t="s">
        <v>39</v>
      </c>
      <c r="E82" s="14" t="s">
        <v>117</v>
      </c>
      <c r="F82" s="1">
        <v>46.83</v>
      </c>
      <c r="G82" s="1">
        <v>2.5499999999999998</v>
      </c>
      <c r="H82" s="1">
        <v>7.11</v>
      </c>
      <c r="I82" s="1">
        <v>0.15</v>
      </c>
      <c r="J82" s="1">
        <v>7.38</v>
      </c>
      <c r="K82" s="1">
        <v>0.14000000000000001</v>
      </c>
      <c r="L82" s="1">
        <v>12.49</v>
      </c>
      <c r="M82" s="1">
        <v>22.22</v>
      </c>
      <c r="N82" s="1">
        <v>0.61</v>
      </c>
      <c r="O82" s="1">
        <v>0.01</v>
      </c>
      <c r="P82" s="1"/>
      <c r="Q82" s="12"/>
      <c r="R82" s="9">
        <v>1.76103401461179</v>
      </c>
      <c r="S82" s="9">
        <v>7.2105254131882304E-2</v>
      </c>
      <c r="T82" s="9">
        <v>0.31509628316007698</v>
      </c>
      <c r="U82" s="9">
        <v>4.4591407160506098E-3</v>
      </c>
      <c r="V82" s="9">
        <v>0.23206150265075101</v>
      </c>
      <c r="W82" s="9">
        <v>0.89517832976806899</v>
      </c>
      <c r="X82" s="9">
        <v>0.70021418251511802</v>
      </c>
      <c r="Y82" s="9">
        <v>4.4587216632627101E-3</v>
      </c>
      <c r="Z82" s="9"/>
      <c r="AA82" s="9">
        <v>4.7968109613566402E-4</v>
      </c>
      <c r="AB82" s="9">
        <v>4.4471499106401302E-2</v>
      </c>
      <c r="AC82" s="16"/>
      <c r="AD82" s="11">
        <f>X82/(X82+V82)*100</f>
        <v>75.108060164685838</v>
      </c>
      <c r="AE82" s="30">
        <v>0.23897947681671994</v>
      </c>
      <c r="AF82" s="30">
        <v>0.23897947681671994</v>
      </c>
      <c r="AG82" s="2">
        <v>115</v>
      </c>
      <c r="AH82" s="26">
        <v>409.1090087890625</v>
      </c>
      <c r="AI82" s="29">
        <v>1.4127691602362416</v>
      </c>
      <c r="AJ82" s="3">
        <v>-1</v>
      </c>
      <c r="AK82" s="13" t="s">
        <v>99</v>
      </c>
    </row>
    <row r="83" spans="1:37">
      <c r="A83" s="7" t="s">
        <v>100</v>
      </c>
      <c r="B83" s="14" t="s">
        <v>101</v>
      </c>
      <c r="C83" s="14" t="s">
        <v>24</v>
      </c>
      <c r="D83" s="14" t="s">
        <v>39</v>
      </c>
      <c r="E83" s="14" t="s">
        <v>116</v>
      </c>
      <c r="F83" s="1">
        <v>47.76</v>
      </c>
      <c r="G83" s="1">
        <v>2.19</v>
      </c>
      <c r="H83" s="1">
        <v>6.27</v>
      </c>
      <c r="I83" s="1">
        <v>0.06</v>
      </c>
      <c r="J83" s="1">
        <v>7.5</v>
      </c>
      <c r="K83" s="1">
        <v>0.14000000000000001</v>
      </c>
      <c r="L83" s="1">
        <v>12.65</v>
      </c>
      <c r="M83" s="1">
        <v>22.52</v>
      </c>
      <c r="N83" s="1">
        <v>0.63</v>
      </c>
      <c r="O83" s="1">
        <v>0.01</v>
      </c>
      <c r="P83" s="1"/>
      <c r="Q83" s="12"/>
      <c r="R83" s="9">
        <v>1.7914409547860899</v>
      </c>
      <c r="S83" s="9">
        <v>6.1768270302852202E-2</v>
      </c>
      <c r="T83" s="9">
        <v>0.27716335780734902</v>
      </c>
      <c r="U83" s="9">
        <v>1.7791221330922501E-3</v>
      </c>
      <c r="V83" s="9">
        <v>0.23523535510614299</v>
      </c>
      <c r="W83" s="9">
        <v>0.90495812922909002</v>
      </c>
      <c r="X83" s="9">
        <v>0.70738131462154097</v>
      </c>
      <c r="Y83" s="9">
        <v>4.4473873451981796E-3</v>
      </c>
      <c r="Z83" s="9"/>
      <c r="AA83" s="9">
        <v>4.78461720152197E-4</v>
      </c>
      <c r="AB83" s="9">
        <v>4.5812825498793598E-2</v>
      </c>
      <c r="AC83" s="16"/>
      <c r="AD83" s="11">
        <f>X83/(X83+V83)*100</f>
        <v>75.044430821056778</v>
      </c>
      <c r="AE83" s="30">
        <v>0.20857514522264009</v>
      </c>
      <c r="AF83" s="30">
        <v>0.20857514522264009</v>
      </c>
      <c r="AG83" s="2">
        <v>130</v>
      </c>
      <c r="AH83" s="26">
        <v>391.1314697265625</v>
      </c>
      <c r="AI83" s="29">
        <v>1.6619999268155545</v>
      </c>
      <c r="AJ83" s="3">
        <v>-1</v>
      </c>
      <c r="AK83" s="13" t="s">
        <v>99</v>
      </c>
    </row>
    <row r="84" spans="1:37">
      <c r="A84" s="7" t="s">
        <v>100</v>
      </c>
      <c r="B84" s="14" t="s">
        <v>101</v>
      </c>
      <c r="C84" s="14" t="s">
        <v>24</v>
      </c>
      <c r="D84" s="14" t="s">
        <v>39</v>
      </c>
      <c r="E84" s="14" t="s">
        <v>115</v>
      </c>
      <c r="F84" s="1">
        <v>46.6</v>
      </c>
      <c r="G84" s="1">
        <v>2.2200000000000002</v>
      </c>
      <c r="H84" s="1">
        <v>7.36</v>
      </c>
      <c r="I84" s="1">
        <v>0.03</v>
      </c>
      <c r="J84" s="1">
        <v>6.93</v>
      </c>
      <c r="K84" s="1">
        <v>0.1</v>
      </c>
      <c r="L84" s="1">
        <v>13.18</v>
      </c>
      <c r="M84" s="1">
        <v>22.41</v>
      </c>
      <c r="N84" s="1">
        <v>0.64</v>
      </c>
      <c r="O84" s="1">
        <v>0.04</v>
      </c>
      <c r="P84" s="1"/>
      <c r="Q84" s="12"/>
      <c r="R84" s="9">
        <v>1.75004169871117</v>
      </c>
      <c r="S84" s="9">
        <v>6.2690047557843007E-2</v>
      </c>
      <c r="T84" s="9">
        <v>0.32573947146783799</v>
      </c>
      <c r="U84" s="9">
        <v>8.9063563297860201E-4</v>
      </c>
      <c r="V84" s="9">
        <v>0.21762003023761101</v>
      </c>
      <c r="W84" s="9">
        <v>0.90162564471221796</v>
      </c>
      <c r="X84" s="9">
        <v>0.73790893369892996</v>
      </c>
      <c r="Y84" s="9">
        <v>3.1805426231732801E-3</v>
      </c>
      <c r="Z84" s="9"/>
      <c r="AA84" s="9">
        <v>1.9161587574344999E-3</v>
      </c>
      <c r="AB84" s="9">
        <v>4.6596232320188502E-2</v>
      </c>
      <c r="AC84" s="16"/>
      <c r="AD84" s="11">
        <f>X84/(X84+V84)*100</f>
        <v>77.225177001325974</v>
      </c>
      <c r="AE84" s="30">
        <v>0.24996660026413009</v>
      </c>
      <c r="AF84" s="30">
        <v>0.24996660026413009</v>
      </c>
      <c r="AG84" s="2">
        <v>168</v>
      </c>
      <c r="AH84" s="26">
        <v>351.98077392578119</v>
      </c>
      <c r="AI84" s="29">
        <v>1.1390345143228227</v>
      </c>
      <c r="AJ84" s="3">
        <v>-1</v>
      </c>
      <c r="AK84" s="13" t="s">
        <v>99</v>
      </c>
    </row>
    <row r="85" spans="1:37">
      <c r="A85" s="7" t="s">
        <v>100</v>
      </c>
      <c r="B85" s="14" t="s">
        <v>101</v>
      </c>
      <c r="C85" s="14" t="s">
        <v>24</v>
      </c>
      <c r="D85" s="14" t="s">
        <v>39</v>
      </c>
      <c r="E85" s="14" t="s">
        <v>114</v>
      </c>
      <c r="F85" s="1">
        <v>46.42</v>
      </c>
      <c r="G85" s="1">
        <v>2.72</v>
      </c>
      <c r="H85" s="1">
        <v>6.91</v>
      </c>
      <c r="I85" s="1">
        <v>0.01</v>
      </c>
      <c r="J85" s="1">
        <v>7.2</v>
      </c>
      <c r="K85" s="1">
        <v>0.14000000000000001</v>
      </c>
      <c r="L85" s="1">
        <v>12.34</v>
      </c>
      <c r="M85" s="1">
        <v>22.47</v>
      </c>
      <c r="N85" s="1">
        <v>0.68</v>
      </c>
      <c r="O85" s="1">
        <v>0</v>
      </c>
      <c r="P85" s="1"/>
      <c r="Q85" s="12"/>
      <c r="R85" s="9">
        <v>1.75805299808824</v>
      </c>
      <c r="S85" s="9">
        <v>7.7460246683943093E-2</v>
      </c>
      <c r="T85" s="9">
        <v>0.30841462725019902</v>
      </c>
      <c r="U85" s="9">
        <v>2.99394045571162E-4</v>
      </c>
      <c r="V85" s="9">
        <v>0.228014504852526</v>
      </c>
      <c r="W85" s="9">
        <v>0.91169971380667603</v>
      </c>
      <c r="X85" s="9">
        <v>0.69673377592669505</v>
      </c>
      <c r="Y85" s="9">
        <v>4.4904886451609298E-3</v>
      </c>
      <c r="Z85" s="9"/>
      <c r="AA85" s="9">
        <v>0</v>
      </c>
      <c r="AB85" s="9">
        <v>4.9927990561851002E-2</v>
      </c>
      <c r="AC85" s="16"/>
      <c r="AD85" s="11">
        <v>75.343073397185094</v>
      </c>
      <c r="AE85" s="30">
        <v>0.24196325940644003</v>
      </c>
      <c r="AF85" s="30">
        <v>0.24196325940644003</v>
      </c>
      <c r="AG85" s="2">
        <v>65</v>
      </c>
      <c r="AH85" s="26">
        <v>367.38336181640619</v>
      </c>
      <c r="AI85" s="29">
        <v>1.2650392308919136</v>
      </c>
      <c r="AJ85" s="3">
        <v>-1</v>
      </c>
      <c r="AK85" s="13" t="s">
        <v>99</v>
      </c>
    </row>
    <row r="86" spans="1:37">
      <c r="A86" s="7" t="s">
        <v>100</v>
      </c>
      <c r="B86" s="14" t="s">
        <v>101</v>
      </c>
      <c r="C86" s="14" t="s">
        <v>24</v>
      </c>
      <c r="D86" s="14" t="s">
        <v>39</v>
      </c>
      <c r="E86" s="14" t="s">
        <v>113</v>
      </c>
      <c r="F86" s="1">
        <v>46.95</v>
      </c>
      <c r="G86" s="1">
        <v>2.77</v>
      </c>
      <c r="H86" s="1">
        <v>6.73</v>
      </c>
      <c r="I86" s="1">
        <v>0.02</v>
      </c>
      <c r="J86" s="1">
        <v>7.14</v>
      </c>
      <c r="K86" s="1">
        <v>0.1</v>
      </c>
      <c r="L86" s="1">
        <v>12.56</v>
      </c>
      <c r="M86" s="1">
        <v>22.88</v>
      </c>
      <c r="N86" s="1">
        <v>0.55000000000000004</v>
      </c>
      <c r="O86" s="1">
        <v>0</v>
      </c>
      <c r="P86" s="1"/>
      <c r="Q86" s="12"/>
      <c r="R86" s="9">
        <v>1.76270415176772</v>
      </c>
      <c r="S86" s="9">
        <v>7.8199998470885795E-2</v>
      </c>
      <c r="T86" s="9">
        <v>0.29777551738810298</v>
      </c>
      <c r="U86" s="9">
        <v>5.9359489624014603E-4</v>
      </c>
      <c r="V86" s="9">
        <v>0.22415332950295899</v>
      </c>
      <c r="W86" s="9">
        <v>0.92028378492694796</v>
      </c>
      <c r="X86" s="9">
        <v>0.70300489349254802</v>
      </c>
      <c r="Y86" s="9">
        <v>3.1796738169052102E-3</v>
      </c>
      <c r="Z86" s="9"/>
      <c r="AA86" s="9">
        <v>0</v>
      </c>
      <c r="AB86" s="9">
        <v>4.0032698713840097E-2</v>
      </c>
      <c r="AC86" s="16"/>
      <c r="AD86" s="11">
        <v>75.823616299410702</v>
      </c>
      <c r="AE86" s="30">
        <v>0.23731368292730992</v>
      </c>
      <c r="AF86" s="30">
        <v>0.23731368292730992</v>
      </c>
      <c r="AG86" s="2">
        <v>1E-3</v>
      </c>
      <c r="AH86" s="26">
        <v>360.15679931640619</v>
      </c>
      <c r="AI86" s="29">
        <v>1.2892274838290219</v>
      </c>
      <c r="AJ86" s="3">
        <v>-1</v>
      </c>
      <c r="AK86" s="13" t="s">
        <v>99</v>
      </c>
    </row>
    <row r="87" spans="1:37">
      <c r="A87" s="7" t="s">
        <v>100</v>
      </c>
      <c r="B87" s="14" t="s">
        <v>101</v>
      </c>
      <c r="C87" s="14" t="s">
        <v>24</v>
      </c>
      <c r="D87" s="14" t="s">
        <v>39</v>
      </c>
      <c r="E87" s="14" t="s">
        <v>112</v>
      </c>
      <c r="F87" s="1">
        <v>46.07</v>
      </c>
      <c r="G87" s="1">
        <v>2.99</v>
      </c>
      <c r="H87" s="1">
        <v>7.3</v>
      </c>
      <c r="I87" s="1">
        <v>0.06</v>
      </c>
      <c r="J87" s="1">
        <v>6.53</v>
      </c>
      <c r="K87" s="1">
        <v>0.06</v>
      </c>
      <c r="L87" s="1">
        <v>12.35</v>
      </c>
      <c r="M87" s="1">
        <v>23.23</v>
      </c>
      <c r="N87" s="1">
        <v>0.48</v>
      </c>
      <c r="O87" s="1">
        <v>0.01</v>
      </c>
      <c r="P87" s="1"/>
      <c r="Q87" s="12"/>
      <c r="R87" s="9">
        <v>1.73965421027293</v>
      </c>
      <c r="S87" s="9">
        <v>8.4898311572464594E-2</v>
      </c>
      <c r="T87" s="9">
        <v>0.32486107208985798</v>
      </c>
      <c r="U87" s="9">
        <v>1.7910689389121399E-3</v>
      </c>
      <c r="V87" s="9">
        <v>0.20618689236912999</v>
      </c>
      <c r="W87" s="9">
        <v>0.93975760528727104</v>
      </c>
      <c r="X87" s="9">
        <v>0.69524288919062704</v>
      </c>
      <c r="Y87" s="9">
        <v>1.9188220941263399E-3</v>
      </c>
      <c r="Z87" s="9"/>
      <c r="AA87" s="9">
        <v>4.8167459079024401E-4</v>
      </c>
      <c r="AB87" s="9">
        <v>3.5139397059005602E-2</v>
      </c>
      <c r="AC87" s="16"/>
      <c r="AD87" s="11">
        <v>77.126682900096597</v>
      </c>
      <c r="AE87" s="30">
        <v>0.26036168679018989</v>
      </c>
      <c r="AF87" s="30">
        <v>0.26036168679018989</v>
      </c>
      <c r="AG87" s="2">
        <v>1E-3</v>
      </c>
      <c r="AH87" s="26">
        <v>400.978271484375</v>
      </c>
      <c r="AI87" s="29">
        <v>1.2599546833616853</v>
      </c>
      <c r="AJ87" s="5">
        <v>-1</v>
      </c>
      <c r="AK87" s="13" t="s">
        <v>99</v>
      </c>
    </row>
    <row r="88" spans="1:37">
      <c r="A88" s="7" t="s">
        <v>100</v>
      </c>
      <c r="B88" s="14" t="s">
        <v>101</v>
      </c>
      <c r="C88" s="14" t="s">
        <v>24</v>
      </c>
      <c r="D88" s="14" t="s">
        <v>39</v>
      </c>
      <c r="E88" s="14" t="s">
        <v>111</v>
      </c>
      <c r="F88" s="1">
        <v>47.5</v>
      </c>
      <c r="G88" s="1">
        <v>2.5</v>
      </c>
      <c r="H88" s="1">
        <v>6.67</v>
      </c>
      <c r="I88" s="1">
        <v>7.0000000000000007E-2</v>
      </c>
      <c r="J88" s="1">
        <v>6.79</v>
      </c>
      <c r="K88" s="1">
        <v>0.08</v>
      </c>
      <c r="L88" s="1">
        <v>12.76</v>
      </c>
      <c r="M88" s="1">
        <v>22.59</v>
      </c>
      <c r="N88" s="1">
        <v>0.61</v>
      </c>
      <c r="O88" s="1">
        <v>0</v>
      </c>
      <c r="P88" s="1"/>
      <c r="Q88" s="12"/>
      <c r="R88" s="9">
        <v>1.77908741740964</v>
      </c>
      <c r="S88" s="9">
        <v>7.0408782055181501E-2</v>
      </c>
      <c r="T88" s="9">
        <v>0.29441477792871001</v>
      </c>
      <c r="U88" s="9">
        <v>2.0726122001822598E-3</v>
      </c>
      <c r="V88" s="9">
        <v>0.21265549255036401</v>
      </c>
      <c r="W88" s="9">
        <v>0.90644577383353298</v>
      </c>
      <c r="X88" s="9">
        <v>0.71249075053128397</v>
      </c>
      <c r="Y88" s="9">
        <v>2.5376539887043701E-3</v>
      </c>
      <c r="Z88" s="9"/>
      <c r="AA88" s="9">
        <v>0</v>
      </c>
      <c r="AB88" s="9">
        <v>4.4293689946272898E-2</v>
      </c>
      <c r="AC88" s="16"/>
      <c r="AD88" s="11">
        <v>77.013851146169998</v>
      </c>
      <c r="AE88" s="30">
        <v>0.22092772403904992</v>
      </c>
      <c r="AF88" s="30">
        <v>0.22092772403904992</v>
      </c>
      <c r="AG88" s="2">
        <v>28</v>
      </c>
      <c r="AH88" s="26">
        <v>397.307373046875</v>
      </c>
      <c r="AI88" s="29">
        <v>1.5603101350164972</v>
      </c>
      <c r="AJ88" s="5">
        <v>-1</v>
      </c>
      <c r="AK88" s="13" t="s">
        <v>99</v>
      </c>
    </row>
    <row r="89" spans="1:37">
      <c r="A89" s="7" t="s">
        <v>100</v>
      </c>
      <c r="B89" s="14" t="s">
        <v>101</v>
      </c>
      <c r="C89" s="14" t="s">
        <v>24</v>
      </c>
      <c r="D89" s="14" t="s">
        <v>39</v>
      </c>
      <c r="E89" s="14" t="s">
        <v>110</v>
      </c>
      <c r="F89" s="1">
        <v>48.29</v>
      </c>
      <c r="G89" s="1">
        <v>2.4500000000000002</v>
      </c>
      <c r="H89" s="1">
        <v>5.69</v>
      </c>
      <c r="I89" s="1">
        <v>0.02</v>
      </c>
      <c r="J89" s="1">
        <v>6.28</v>
      </c>
      <c r="K89" s="1">
        <v>0.12</v>
      </c>
      <c r="L89" s="1">
        <v>13.22</v>
      </c>
      <c r="M89" s="1">
        <v>23.08</v>
      </c>
      <c r="N89" s="1">
        <v>0.61</v>
      </c>
      <c r="O89" s="1">
        <v>0.01</v>
      </c>
      <c r="P89" s="1"/>
      <c r="Q89" s="12"/>
      <c r="R89" s="9">
        <v>1.8026264658832101</v>
      </c>
      <c r="S89" s="9">
        <v>6.8769800849152199E-2</v>
      </c>
      <c r="T89" s="9">
        <v>0.25031731795462803</v>
      </c>
      <c r="U89" s="9">
        <v>5.9019410180958804E-4</v>
      </c>
      <c r="V89" s="9">
        <v>0.196024941483424</v>
      </c>
      <c r="W89" s="9">
        <v>0.923009691603212</v>
      </c>
      <c r="X89" s="9">
        <v>0.73570697018626496</v>
      </c>
      <c r="Y89" s="9">
        <v>3.7937483849051598E-3</v>
      </c>
      <c r="Z89" s="9"/>
      <c r="AA89" s="9">
        <v>4.7616509275508201E-4</v>
      </c>
      <c r="AB89" s="9">
        <v>4.4145528492888803E-2</v>
      </c>
      <c r="AC89" s="16"/>
      <c r="AD89" s="11">
        <v>78.961229187466401</v>
      </c>
      <c r="AE89" s="30">
        <v>0.19739396797528008</v>
      </c>
      <c r="AF89" s="30">
        <v>0.19739396797528008</v>
      </c>
      <c r="AG89" s="2">
        <v>26</v>
      </c>
      <c r="AH89" s="26">
        <v>355.2996826171875</v>
      </c>
      <c r="AI89" s="29">
        <v>1.6531268122312921</v>
      </c>
      <c r="AJ89" s="5">
        <v>-1</v>
      </c>
      <c r="AK89" s="13" t="s">
        <v>99</v>
      </c>
    </row>
    <row r="90" spans="1:37">
      <c r="A90" s="7" t="s">
        <v>100</v>
      </c>
      <c r="B90" s="14" t="s">
        <v>101</v>
      </c>
      <c r="C90" s="14" t="s">
        <v>24</v>
      </c>
      <c r="D90" s="14" t="s">
        <v>39</v>
      </c>
      <c r="E90" s="14" t="s">
        <v>109</v>
      </c>
      <c r="F90" s="1">
        <v>48.18</v>
      </c>
      <c r="G90" s="1">
        <v>2.2999999999999998</v>
      </c>
      <c r="H90" s="1">
        <v>5.56</v>
      </c>
      <c r="I90" s="1">
        <v>0.27</v>
      </c>
      <c r="J90" s="1">
        <v>5.89</v>
      </c>
      <c r="K90" s="1">
        <v>0.09</v>
      </c>
      <c r="L90" s="1">
        <v>13.66</v>
      </c>
      <c r="M90" s="1">
        <v>22.75</v>
      </c>
      <c r="N90" s="1">
        <v>0.47</v>
      </c>
      <c r="O90" s="1">
        <v>0</v>
      </c>
      <c r="P90" s="1"/>
      <c r="Q90" s="12"/>
      <c r="R90" s="9">
        <v>1.8049224198927101</v>
      </c>
      <c r="S90" s="9">
        <v>6.47892159903216E-2</v>
      </c>
      <c r="T90" s="9">
        <v>0.24546898586320701</v>
      </c>
      <c r="U90" s="9">
        <v>7.9959825890114893E-3</v>
      </c>
      <c r="V90" s="9">
        <v>0.184505871086631</v>
      </c>
      <c r="W90" s="9">
        <v>0.913051057774665</v>
      </c>
      <c r="X90" s="9">
        <v>0.76289948392686002</v>
      </c>
      <c r="Y90" s="9">
        <v>2.85543969911133E-3</v>
      </c>
      <c r="Z90" s="9"/>
      <c r="AA90" s="9">
        <v>0</v>
      </c>
      <c r="AB90" s="9">
        <v>3.4134846136685701E-2</v>
      </c>
      <c r="AC90" s="16"/>
      <c r="AD90" s="11">
        <v>80.525139518131198</v>
      </c>
      <c r="AE90" s="30">
        <v>0.19509645627052996</v>
      </c>
      <c r="AF90" s="30">
        <v>0.19509645627052996</v>
      </c>
      <c r="AG90" s="5">
        <v>18</v>
      </c>
      <c r="AH90" s="26">
        <v>389.28787231445313</v>
      </c>
      <c r="AI90" s="29">
        <v>1.8202993326225618</v>
      </c>
      <c r="AJ90" s="5">
        <v>-1</v>
      </c>
      <c r="AK90" s="13" t="s">
        <v>99</v>
      </c>
    </row>
    <row r="91" spans="1:37">
      <c r="A91" s="7" t="s">
        <v>100</v>
      </c>
      <c r="B91" s="14" t="s">
        <v>102</v>
      </c>
      <c r="C91" s="14" t="s">
        <v>24</v>
      </c>
      <c r="D91" s="14" t="s">
        <v>39</v>
      </c>
      <c r="E91" s="14" t="s">
        <v>108</v>
      </c>
      <c r="F91" s="1">
        <v>48.31</v>
      </c>
      <c r="G91" s="1">
        <v>2.36</v>
      </c>
      <c r="H91" s="1">
        <v>5.64</v>
      </c>
      <c r="I91" s="1">
        <v>0.1</v>
      </c>
      <c r="J91" s="1">
        <v>6.87</v>
      </c>
      <c r="K91" s="1">
        <v>0.1</v>
      </c>
      <c r="L91" s="1">
        <v>13.58</v>
      </c>
      <c r="M91" s="1">
        <v>22.06</v>
      </c>
      <c r="N91" s="1">
        <v>0.59</v>
      </c>
      <c r="O91" s="1">
        <v>0.01</v>
      </c>
      <c r="P91" s="1"/>
      <c r="Q91" s="12"/>
      <c r="R91" s="9">
        <v>1.8054837872087599</v>
      </c>
      <c r="S91" s="9">
        <v>6.6321097295803599E-2</v>
      </c>
      <c r="T91" s="9">
        <v>0.24840809956207299</v>
      </c>
      <c r="U91" s="9">
        <v>2.9544244390804601E-3</v>
      </c>
      <c r="V91" s="9">
        <v>0.21469228784031799</v>
      </c>
      <c r="W91" s="9">
        <v>0.88325068430540798</v>
      </c>
      <c r="X91" s="9">
        <v>0.75662589952510095</v>
      </c>
      <c r="Y91" s="9">
        <v>3.1651572789697601E-3</v>
      </c>
      <c r="Z91" s="9"/>
      <c r="AA91" s="9">
        <v>4.7672241479854502E-4</v>
      </c>
      <c r="AB91" s="9">
        <v>4.2748109663881199E-2</v>
      </c>
      <c r="AC91" s="16"/>
      <c r="AD91" s="11">
        <v>77.8968117108314</v>
      </c>
      <c r="AE91" s="30">
        <v>0.1945354535953101</v>
      </c>
      <c r="AF91" s="30">
        <v>0.1945354535953101</v>
      </c>
      <c r="AG91" s="5">
        <v>107</v>
      </c>
      <c r="AH91" s="26">
        <v>349.78125</v>
      </c>
      <c r="AI91" s="29">
        <v>1.5933402183964793</v>
      </c>
      <c r="AJ91" s="5">
        <v>-1</v>
      </c>
      <c r="AK91" s="13" t="s">
        <v>99</v>
      </c>
    </row>
    <row r="92" spans="1:37">
      <c r="A92" s="7" t="s">
        <v>100</v>
      </c>
      <c r="B92" s="14" t="s">
        <v>102</v>
      </c>
      <c r="C92" s="14" t="s">
        <v>24</v>
      </c>
      <c r="D92" s="14" t="s">
        <v>39</v>
      </c>
      <c r="E92" s="14" t="s">
        <v>107</v>
      </c>
      <c r="F92" s="1">
        <v>48.03</v>
      </c>
      <c r="G92" s="1">
        <v>2.52</v>
      </c>
      <c r="H92" s="1">
        <v>5.48</v>
      </c>
      <c r="I92" s="1">
        <v>0.05</v>
      </c>
      <c r="J92" s="1">
        <v>6.62</v>
      </c>
      <c r="K92" s="1">
        <v>0.1</v>
      </c>
      <c r="L92" s="1">
        <v>13.35</v>
      </c>
      <c r="M92" s="1">
        <v>22.6</v>
      </c>
      <c r="N92" s="1">
        <v>0.55000000000000004</v>
      </c>
      <c r="O92" s="1">
        <v>0</v>
      </c>
      <c r="P92" s="1"/>
      <c r="Q92" s="12"/>
      <c r="R92" s="9">
        <v>1.8026555868182801</v>
      </c>
      <c r="S92" s="9">
        <v>7.1118707903207706E-2</v>
      </c>
      <c r="T92" s="9">
        <v>0.24238783722246601</v>
      </c>
      <c r="U92" s="9">
        <v>1.48349643939701E-3</v>
      </c>
      <c r="V92" s="9">
        <v>0.20775970176462699</v>
      </c>
      <c r="W92" s="9">
        <v>0.90872092878327304</v>
      </c>
      <c r="X92" s="9">
        <v>0.74697542799613104</v>
      </c>
      <c r="Y92" s="9">
        <v>3.1786221988771499E-3</v>
      </c>
      <c r="Z92" s="9"/>
      <c r="AA92" s="9">
        <v>0</v>
      </c>
      <c r="AB92" s="9">
        <v>4.0019458642655603E-2</v>
      </c>
      <c r="AC92" s="16"/>
      <c r="AD92" s="11">
        <v>78.239021977049404</v>
      </c>
      <c r="AE92" s="30">
        <v>0.19736648124693001</v>
      </c>
      <c r="AF92" s="30">
        <v>0.19736648124693001</v>
      </c>
      <c r="AG92" s="30">
        <v>44</v>
      </c>
      <c r="AH92" s="30">
        <v>319.942138671875</v>
      </c>
      <c r="AI92" s="30">
        <v>1.4677559053014542</v>
      </c>
      <c r="AJ92" s="5">
        <v>-1</v>
      </c>
      <c r="AK92" s="13" t="s">
        <v>99</v>
      </c>
    </row>
    <row r="93" spans="1:37">
      <c r="A93" s="7" t="s">
        <v>100</v>
      </c>
      <c r="B93" s="14" t="s">
        <v>102</v>
      </c>
      <c r="C93" s="14" t="s">
        <v>24</v>
      </c>
      <c r="D93" s="14" t="s">
        <v>39</v>
      </c>
      <c r="E93" s="14" t="s">
        <v>106</v>
      </c>
      <c r="F93" s="1">
        <v>48.09</v>
      </c>
      <c r="G93" s="1">
        <v>2.4300000000000002</v>
      </c>
      <c r="H93" s="1">
        <v>5.62</v>
      </c>
      <c r="I93" s="1">
        <v>0.05</v>
      </c>
      <c r="J93" s="1">
        <v>6.66</v>
      </c>
      <c r="K93" s="1">
        <v>0.08</v>
      </c>
      <c r="L93" s="1">
        <v>13.3</v>
      </c>
      <c r="M93" s="1">
        <v>22.47</v>
      </c>
      <c r="N93" s="1">
        <v>0.56000000000000005</v>
      </c>
      <c r="O93" s="1">
        <v>0.01</v>
      </c>
      <c r="P93" s="1"/>
      <c r="Q93" s="12"/>
      <c r="R93" s="9">
        <v>1.80433297082637</v>
      </c>
      <c r="S93" s="9">
        <v>6.8556924445225195E-2</v>
      </c>
      <c r="T93" s="9">
        <v>0.24850110056097999</v>
      </c>
      <c r="U93" s="9">
        <v>1.48302422113209E-3</v>
      </c>
      <c r="V93" s="9">
        <v>0.208948514897208</v>
      </c>
      <c r="W93" s="9">
        <v>0.90320617792856495</v>
      </c>
      <c r="X93" s="9">
        <v>0.74394088472472397</v>
      </c>
      <c r="Y93" s="9">
        <v>2.5420883181514302E-3</v>
      </c>
      <c r="Z93" s="9"/>
      <c r="AA93" s="9">
        <v>4.7859805013180003E-4</v>
      </c>
      <c r="AB93" s="9">
        <v>4.0734114779852698E-2</v>
      </c>
      <c r="AC93" s="16"/>
      <c r="AD93" s="11">
        <v>78.0721125683515</v>
      </c>
      <c r="AE93" s="30">
        <v>0.1956874016560699</v>
      </c>
      <c r="AF93" s="30">
        <v>0.1956874016560699</v>
      </c>
      <c r="AG93" s="30">
        <v>92</v>
      </c>
      <c r="AH93" s="30">
        <v>333.71630859375</v>
      </c>
      <c r="AI93" s="30">
        <v>1.5392345938095779</v>
      </c>
      <c r="AJ93" s="5">
        <v>-1</v>
      </c>
      <c r="AK93" s="13" t="s">
        <v>99</v>
      </c>
    </row>
    <row r="94" spans="1:37">
      <c r="A94" s="7" t="s">
        <v>100</v>
      </c>
      <c r="B94" s="14" t="s">
        <v>103</v>
      </c>
      <c r="C94" s="14" t="s">
        <v>24</v>
      </c>
      <c r="D94" s="14" t="s">
        <v>39</v>
      </c>
      <c r="E94" s="14" t="s">
        <v>105</v>
      </c>
      <c r="F94" s="1">
        <v>46.53</v>
      </c>
      <c r="G94" s="1">
        <v>3.29</v>
      </c>
      <c r="H94" s="1">
        <v>6.58</v>
      </c>
      <c r="I94" s="1">
        <v>0.02</v>
      </c>
      <c r="J94" s="1">
        <v>6.41</v>
      </c>
      <c r="K94" s="1">
        <v>0.12</v>
      </c>
      <c r="L94" s="1">
        <v>12.6</v>
      </c>
      <c r="M94" s="1">
        <v>23.2</v>
      </c>
      <c r="N94" s="1">
        <v>0.48</v>
      </c>
      <c r="O94" s="1">
        <v>0</v>
      </c>
      <c r="P94" s="1"/>
      <c r="Q94" s="12"/>
      <c r="R94" s="9">
        <v>1.7533210087879101</v>
      </c>
      <c r="S94" s="9">
        <v>9.3219641149396806E-2</v>
      </c>
      <c r="T94" s="9">
        <v>0.29220279826743101</v>
      </c>
      <c r="U94" s="9">
        <v>5.9576462388712201E-4</v>
      </c>
      <c r="V94" s="9">
        <v>0.20197125551346601</v>
      </c>
      <c r="W94" s="9">
        <v>0.93656578534038304</v>
      </c>
      <c r="X94" s="9">
        <v>0.70782159284653601</v>
      </c>
      <c r="Y94" s="9">
        <v>3.82955551864291E-3</v>
      </c>
      <c r="Z94" s="9"/>
      <c r="AA94" s="9">
        <v>0</v>
      </c>
      <c r="AB94" s="9">
        <v>3.5065333138758002E-2</v>
      </c>
      <c r="AC94" s="16"/>
      <c r="AD94" s="11">
        <v>77.800303016500905</v>
      </c>
      <c r="AE94" s="30">
        <v>0.24670135203589005</v>
      </c>
      <c r="AF94" s="30">
        <v>0.24670135203589005</v>
      </c>
      <c r="AG94" s="30">
        <v>63</v>
      </c>
      <c r="AH94" s="30">
        <v>345.08917236328119</v>
      </c>
      <c r="AI94" s="30">
        <v>1.1812438473745706</v>
      </c>
      <c r="AJ94" s="5">
        <v>-1</v>
      </c>
      <c r="AK94" s="13" t="s">
        <v>99</v>
      </c>
    </row>
    <row r="95" spans="1:37">
      <c r="A95" s="7" t="s">
        <v>100</v>
      </c>
      <c r="B95" s="14" t="s">
        <v>103</v>
      </c>
      <c r="C95" s="14" t="s">
        <v>24</v>
      </c>
      <c r="D95" s="14" t="s">
        <v>39</v>
      </c>
      <c r="E95" s="14" t="s">
        <v>104</v>
      </c>
      <c r="F95" s="1">
        <v>46.57</v>
      </c>
      <c r="G95" s="1">
        <v>3.15</v>
      </c>
      <c r="H95" s="1">
        <v>6.15</v>
      </c>
      <c r="I95" s="1">
        <v>0.01</v>
      </c>
      <c r="J95" s="1">
        <v>6.19</v>
      </c>
      <c r="K95" s="1">
        <v>0.08</v>
      </c>
      <c r="L95" s="1">
        <v>12.98</v>
      </c>
      <c r="M95" s="1">
        <v>23.27</v>
      </c>
      <c r="N95" s="1">
        <v>0.42</v>
      </c>
      <c r="O95" s="1">
        <v>0</v>
      </c>
      <c r="P95" s="1"/>
      <c r="Q95" s="12"/>
      <c r="R95" s="9">
        <v>1.7607667650474399</v>
      </c>
      <c r="S95" s="9">
        <v>8.9554887516083301E-2</v>
      </c>
      <c r="T95" s="9">
        <v>0.274031698718393</v>
      </c>
      <c r="U95" s="9">
        <v>2.9889037228634298E-4</v>
      </c>
      <c r="V95" s="9">
        <v>0.19569935523783899</v>
      </c>
      <c r="W95" s="9">
        <v>0.94257061554180399</v>
      </c>
      <c r="X95" s="9">
        <v>0.73163616489586003</v>
      </c>
      <c r="Y95" s="9">
        <v>2.5616767176500801E-3</v>
      </c>
      <c r="Z95" s="9"/>
      <c r="AA95" s="9">
        <v>0</v>
      </c>
      <c r="AB95" s="9">
        <v>3.0785997687576901E-2</v>
      </c>
      <c r="AC95" s="16"/>
      <c r="AD95" s="11">
        <v>78.896596648252597</v>
      </c>
      <c r="AE95" s="30">
        <v>0.23925659954946998</v>
      </c>
      <c r="AF95" s="30">
        <v>0.23925659954946998</v>
      </c>
      <c r="AG95" s="30">
        <v>52</v>
      </c>
      <c r="AH95" s="30">
        <v>326.91268920898438</v>
      </c>
      <c r="AI95" s="30">
        <v>1.1815818991316525</v>
      </c>
      <c r="AJ95" s="5">
        <v>-1</v>
      </c>
      <c r="AK95" s="13" t="s">
        <v>99</v>
      </c>
    </row>
    <row r="96" spans="1:37">
      <c r="A96" s="23" t="s">
        <v>89</v>
      </c>
      <c r="B96" s="14" t="s">
        <v>90</v>
      </c>
      <c r="C96" s="14" t="s">
        <v>24</v>
      </c>
      <c r="D96" s="14" t="s">
        <v>25</v>
      </c>
      <c r="E96" s="14" t="s">
        <v>91</v>
      </c>
      <c r="F96" s="1">
        <v>50.82</v>
      </c>
      <c r="G96" s="1">
        <v>1.2421199999999999</v>
      </c>
      <c r="H96" s="1">
        <v>4.4119999999999999</v>
      </c>
      <c r="I96" s="1">
        <v>0.51104000000000005</v>
      </c>
      <c r="J96" s="1">
        <v>5.38</v>
      </c>
      <c r="K96" s="1">
        <v>0.11014</v>
      </c>
      <c r="L96" s="1">
        <v>15.366</v>
      </c>
      <c r="M96" s="1">
        <v>21.847999999999999</v>
      </c>
      <c r="N96" s="1">
        <v>0.39694000000000002</v>
      </c>
      <c r="O96" s="1"/>
      <c r="P96" s="1"/>
      <c r="Q96" s="12"/>
      <c r="R96" s="9">
        <v>1.86833302164363</v>
      </c>
      <c r="S96" s="9">
        <v>4.5664970736796297E-2</v>
      </c>
      <c r="T96" s="9">
        <v>0.19115480784140601</v>
      </c>
      <c r="U96" s="9">
        <v>1.4852202271027799E-2</v>
      </c>
      <c r="V96" s="9">
        <v>0.165388403986474</v>
      </c>
      <c r="W96" s="9">
        <v>0.86050467714670298</v>
      </c>
      <c r="X96" s="9">
        <v>0.84218079918683897</v>
      </c>
      <c r="Y96" s="9">
        <v>3.4312186200334501E-3</v>
      </c>
      <c r="Z96" s="9"/>
      <c r="AA96" s="9"/>
      <c r="AB96" s="9">
        <v>2.82912959731728E-2</v>
      </c>
      <c r="AC96" s="16"/>
      <c r="AD96" s="11">
        <f t="shared" ref="AD96:AD102" si="0">W96/(W96+U96)*100</f>
        <v>98.303297475549954</v>
      </c>
      <c r="AE96" s="30">
        <v>0.13168120573754005</v>
      </c>
      <c r="AF96" s="30">
        <v>0.13168120573754005</v>
      </c>
      <c r="AG96" s="30">
        <v>170</v>
      </c>
      <c r="AH96" s="30">
        <v>393.13717651367188</v>
      </c>
      <c r="AI96" s="30">
        <v>2.6339641745435061</v>
      </c>
      <c r="AJ96" s="5">
        <v>-1</v>
      </c>
      <c r="AK96" s="13" t="s">
        <v>98</v>
      </c>
    </row>
    <row r="97" spans="1:37">
      <c r="A97" s="23" t="s">
        <v>89</v>
      </c>
      <c r="B97" s="14" t="s">
        <v>90</v>
      </c>
      <c r="C97" s="14" t="s">
        <v>24</v>
      </c>
      <c r="D97" s="14" t="s">
        <v>25</v>
      </c>
      <c r="E97" s="14" t="s">
        <v>92</v>
      </c>
      <c r="F97" s="1">
        <v>51.46</v>
      </c>
      <c r="G97" s="1">
        <v>0.94591999999999998</v>
      </c>
      <c r="H97" s="1">
        <v>3.6579999999999999</v>
      </c>
      <c r="I97" s="1">
        <v>0.66</v>
      </c>
      <c r="J97" s="1">
        <v>4.7720000000000002</v>
      </c>
      <c r="K97" s="1">
        <v>9.5100000000000004E-2</v>
      </c>
      <c r="L97" s="1">
        <v>16.181999999999999</v>
      </c>
      <c r="M97" s="1">
        <v>21.728000000000002</v>
      </c>
      <c r="N97" s="1">
        <v>0.40250000000000002</v>
      </c>
      <c r="O97" s="1"/>
      <c r="P97" s="1"/>
      <c r="Q97" s="12"/>
      <c r="R97" s="9">
        <v>1.88896246421119</v>
      </c>
      <c r="S97" s="9">
        <v>3.4722257562119101E-2</v>
      </c>
      <c r="T97" s="9">
        <v>0.158244032059317</v>
      </c>
      <c r="U97" s="9">
        <v>1.9151985906496999E-2</v>
      </c>
      <c r="V97" s="9">
        <v>0.14647285027057799</v>
      </c>
      <c r="W97" s="9">
        <v>0.85446684884698998</v>
      </c>
      <c r="X97" s="9">
        <v>0.88554497072558103</v>
      </c>
      <c r="Y97" s="9">
        <v>2.9581333790186298E-3</v>
      </c>
      <c r="Z97" s="9"/>
      <c r="AA97" s="9"/>
      <c r="AB97" s="9">
        <v>2.8643611765268501E-2</v>
      </c>
      <c r="AC97" s="16"/>
      <c r="AD97" s="11">
        <f t="shared" si="0"/>
        <v>97.807741185902756</v>
      </c>
      <c r="AE97" s="30">
        <v>0.11105258575831001</v>
      </c>
      <c r="AF97" s="30">
        <v>0.11105258575831001</v>
      </c>
      <c r="AG97" s="30">
        <v>124</v>
      </c>
      <c r="AH97" s="30">
        <v>322.04840087890619</v>
      </c>
      <c r="AI97" s="30">
        <v>2.4524327310843477</v>
      </c>
      <c r="AJ97" s="5">
        <v>-1</v>
      </c>
      <c r="AK97" s="13" t="s">
        <v>98</v>
      </c>
    </row>
    <row r="98" spans="1:37">
      <c r="A98" s="23" t="s">
        <v>89</v>
      </c>
      <c r="B98" s="14" t="s">
        <v>90</v>
      </c>
      <c r="C98" s="14" t="s">
        <v>24</v>
      </c>
      <c r="D98" s="14" t="s">
        <v>25</v>
      </c>
      <c r="E98" s="14" t="s">
        <v>93</v>
      </c>
      <c r="F98" s="1">
        <v>53.014000000000003</v>
      </c>
      <c r="G98" s="1">
        <v>0.4975</v>
      </c>
      <c r="H98" s="1">
        <v>2.504</v>
      </c>
      <c r="I98" s="1">
        <v>0.92</v>
      </c>
      <c r="J98" s="1">
        <v>3.8479999999999999</v>
      </c>
      <c r="K98" s="1">
        <v>5.194E-2</v>
      </c>
      <c r="L98" s="1">
        <v>16.782</v>
      </c>
      <c r="M98" s="1">
        <v>22.141999999999999</v>
      </c>
      <c r="N98" s="1">
        <v>0.38144</v>
      </c>
      <c r="O98" s="1"/>
      <c r="P98" s="1"/>
      <c r="Q98" s="12"/>
      <c r="R98" s="9">
        <v>1.9317016941051799</v>
      </c>
      <c r="S98" s="9">
        <v>1.8127694435759002E-2</v>
      </c>
      <c r="T98" s="9">
        <v>0.10752610253219</v>
      </c>
      <c r="U98" s="9">
        <v>2.6500474243966302E-2</v>
      </c>
      <c r="V98" s="9">
        <v>0.11724321036730299</v>
      </c>
      <c r="W98" s="9">
        <v>0.86434724566521004</v>
      </c>
      <c r="X98" s="9">
        <v>0.91162889378386203</v>
      </c>
      <c r="Y98" s="9">
        <v>1.6037442823573101E-3</v>
      </c>
      <c r="Z98" s="9"/>
      <c r="AA98" s="9"/>
      <c r="AB98" s="9">
        <v>2.6945364846549601E-2</v>
      </c>
      <c r="AC98" s="16"/>
      <c r="AD98" s="11">
        <f t="shared" si="0"/>
        <v>97.025252054675732</v>
      </c>
      <c r="AE98" s="30">
        <v>6.831600542895E-2</v>
      </c>
      <c r="AF98" s="30">
        <v>6.831600542895E-2</v>
      </c>
      <c r="AG98" s="30">
        <v>93</v>
      </c>
      <c r="AH98" s="30">
        <v>312.6546630859375</v>
      </c>
      <c r="AI98" s="30">
        <v>3.1744872608275578</v>
      </c>
      <c r="AJ98" s="5">
        <v>-1</v>
      </c>
      <c r="AK98" s="13" t="s">
        <v>98</v>
      </c>
    </row>
    <row r="99" spans="1:37">
      <c r="A99" s="23" t="s">
        <v>89</v>
      </c>
      <c r="B99" s="14" t="s">
        <v>90</v>
      </c>
      <c r="C99" s="14" t="s">
        <v>24</v>
      </c>
      <c r="D99" s="14" t="s">
        <v>25</v>
      </c>
      <c r="E99" s="14" t="s">
        <v>94</v>
      </c>
      <c r="F99" s="1">
        <v>52.798000000000002</v>
      </c>
      <c r="G99" s="1">
        <v>0.66457999999999995</v>
      </c>
      <c r="H99" s="1">
        <v>2.7759999999999998</v>
      </c>
      <c r="I99" s="1">
        <v>0.60860000000000003</v>
      </c>
      <c r="J99" s="1">
        <v>4.21</v>
      </c>
      <c r="K99" s="1">
        <v>0.10088</v>
      </c>
      <c r="L99" s="1">
        <v>16.481999999999999</v>
      </c>
      <c r="M99" s="1">
        <v>22.154</v>
      </c>
      <c r="N99" s="1">
        <v>0.36321999999999999</v>
      </c>
      <c r="O99" s="1"/>
      <c r="P99" s="1"/>
      <c r="Q99" s="12"/>
      <c r="R99" s="9">
        <v>1.9259020689745101</v>
      </c>
      <c r="S99" s="9">
        <v>2.4241751524661601E-2</v>
      </c>
      <c r="T99" s="9">
        <v>0.119334572787351</v>
      </c>
      <c r="U99" s="9">
        <v>1.7549510515402201E-2</v>
      </c>
      <c r="V99" s="9">
        <v>0.128410925299382</v>
      </c>
      <c r="W99" s="9">
        <v>0.86574660761212296</v>
      </c>
      <c r="X99" s="9">
        <v>0.89629611857541103</v>
      </c>
      <c r="Y99" s="9">
        <v>3.1182109366203999E-3</v>
      </c>
      <c r="Z99" s="9"/>
      <c r="AA99" s="9"/>
      <c r="AB99" s="9">
        <v>2.5685902511179401E-2</v>
      </c>
      <c r="AC99" s="16"/>
      <c r="AD99" s="11">
        <f t="shared" si="0"/>
        <v>98.013179254924736</v>
      </c>
      <c r="AE99" s="30">
        <v>7.4115744761189983E-2</v>
      </c>
      <c r="AF99" s="30">
        <v>7.4115744761189983E-2</v>
      </c>
      <c r="AG99" s="30">
        <v>154</v>
      </c>
      <c r="AH99" s="30">
        <v>383.91165161132813</v>
      </c>
      <c r="AI99" s="30">
        <v>3.759028113320797</v>
      </c>
      <c r="AJ99" s="5">
        <v>-1</v>
      </c>
      <c r="AK99" s="13" t="s">
        <v>98</v>
      </c>
    </row>
    <row r="100" spans="1:37">
      <c r="A100" s="23" t="s">
        <v>89</v>
      </c>
      <c r="B100" s="14" t="s">
        <v>90</v>
      </c>
      <c r="C100" s="14" t="s">
        <v>24</v>
      </c>
      <c r="D100" s="14" t="s">
        <v>25</v>
      </c>
      <c r="E100" s="14" t="s">
        <v>95</v>
      </c>
      <c r="F100" s="1">
        <v>52.305999999999997</v>
      </c>
      <c r="G100" s="1">
        <v>0.84918000000000005</v>
      </c>
      <c r="H100" s="1">
        <v>3.206</v>
      </c>
      <c r="I100" s="1">
        <v>0.49869999999999998</v>
      </c>
      <c r="J100" s="1">
        <v>4.3559999999999999</v>
      </c>
      <c r="K100" s="1">
        <v>6.6100000000000006E-2</v>
      </c>
      <c r="L100" s="1">
        <v>16.283999999999999</v>
      </c>
      <c r="M100" s="1">
        <v>22.262</v>
      </c>
      <c r="N100" s="1">
        <v>0.36443999999999999</v>
      </c>
      <c r="O100" s="1"/>
      <c r="P100" s="1"/>
      <c r="Q100" s="12"/>
      <c r="R100" s="9">
        <v>1.9098391890834101</v>
      </c>
      <c r="S100" s="9">
        <v>3.1005950418419501E-2</v>
      </c>
      <c r="T100" s="9">
        <v>0.13795546266424</v>
      </c>
      <c r="U100" s="9">
        <v>1.43946460706031E-2</v>
      </c>
      <c r="V100" s="9">
        <v>0.13299530622484401</v>
      </c>
      <c r="W100" s="9">
        <v>0.87082600290735501</v>
      </c>
      <c r="X100" s="9">
        <v>0.88640309283747198</v>
      </c>
      <c r="Y100" s="9">
        <v>2.0451748311557001E-3</v>
      </c>
      <c r="Z100" s="9"/>
      <c r="AA100" s="9"/>
      <c r="AB100" s="9">
        <v>2.5797622114481601E-2</v>
      </c>
      <c r="AC100" s="16"/>
      <c r="AD100" s="11">
        <f t="shared" si="0"/>
        <v>98.373891742446062</v>
      </c>
      <c r="AE100" s="30">
        <v>9.0177755287220052E-2</v>
      </c>
      <c r="AF100" s="30">
        <v>9.0177755287220052E-2</v>
      </c>
      <c r="AG100" s="30">
        <v>157</v>
      </c>
      <c r="AH100" s="30">
        <v>445.570068359375</v>
      </c>
      <c r="AI100" s="30">
        <v>3.9502533407602836</v>
      </c>
      <c r="AJ100" s="5">
        <v>-1</v>
      </c>
      <c r="AK100" s="13" t="s">
        <v>98</v>
      </c>
    </row>
    <row r="101" spans="1:37">
      <c r="A101" s="23" t="s">
        <v>89</v>
      </c>
      <c r="B101" s="14" t="s">
        <v>90</v>
      </c>
      <c r="C101" s="14" t="s">
        <v>24</v>
      </c>
      <c r="D101" s="14" t="s">
        <v>25</v>
      </c>
      <c r="E101" s="14" t="s">
        <v>96</v>
      </c>
      <c r="F101" s="1">
        <v>50.777999999999999</v>
      </c>
      <c r="G101" s="1">
        <v>1.0986800000000001</v>
      </c>
      <c r="H101" s="1">
        <v>4.1040000000000001</v>
      </c>
      <c r="I101" s="1">
        <v>0.71819999999999995</v>
      </c>
      <c r="J101" s="1">
        <v>4.9640000000000004</v>
      </c>
      <c r="K101" s="1">
        <v>9.64E-2</v>
      </c>
      <c r="L101" s="1">
        <v>15.635999999999999</v>
      </c>
      <c r="M101" s="1">
        <v>21.956</v>
      </c>
      <c r="N101" s="1">
        <v>0.39989999999999998</v>
      </c>
      <c r="O101" s="1"/>
      <c r="P101" s="1"/>
      <c r="Q101" s="12"/>
      <c r="R101" s="9">
        <v>1.87180015071549</v>
      </c>
      <c r="S101" s="9">
        <v>4.0500007672379601E-2</v>
      </c>
      <c r="T101" s="9">
        <v>0.17828767915281599</v>
      </c>
      <c r="U101" s="9">
        <v>2.09288622310769E-2</v>
      </c>
      <c r="V101" s="9">
        <v>0.15300964622072799</v>
      </c>
      <c r="W101" s="9">
        <v>0.86707971821344498</v>
      </c>
      <c r="X101" s="9">
        <v>0.859279451324375</v>
      </c>
      <c r="Y101" s="9">
        <v>3.0112347207495701E-3</v>
      </c>
      <c r="Z101" s="9"/>
      <c r="AA101" s="9"/>
      <c r="AB101" s="9">
        <v>2.85787769265308E-2</v>
      </c>
      <c r="AC101" s="16"/>
      <c r="AD101" s="11">
        <f t="shared" si="0"/>
        <v>97.643168918412897</v>
      </c>
      <c r="AE101" s="30">
        <v>0.12821442959586005</v>
      </c>
      <c r="AF101" s="30">
        <v>0.12821442959586005</v>
      </c>
      <c r="AG101" s="30">
        <v>182</v>
      </c>
      <c r="AH101" s="30">
        <v>360.407958984375</v>
      </c>
      <c r="AI101" s="30">
        <v>2.4860066567565742</v>
      </c>
      <c r="AJ101" s="5">
        <v>-1</v>
      </c>
      <c r="AK101" s="13" t="s">
        <v>98</v>
      </c>
    </row>
    <row r="102" spans="1:37">
      <c r="A102" s="23" t="s">
        <v>89</v>
      </c>
      <c r="B102" s="14" t="s">
        <v>90</v>
      </c>
      <c r="C102" s="14" t="s">
        <v>24</v>
      </c>
      <c r="D102" s="14" t="s">
        <v>25</v>
      </c>
      <c r="E102" s="14" t="s">
        <v>97</v>
      </c>
      <c r="F102" s="1">
        <v>51.521999999999998</v>
      </c>
      <c r="G102" s="1">
        <v>0.85329999999999995</v>
      </c>
      <c r="H102" s="1">
        <v>3.9119999999999999</v>
      </c>
      <c r="I102" s="1">
        <v>1.0771200000000001</v>
      </c>
      <c r="J102" s="1">
        <v>4.5</v>
      </c>
      <c r="K102" s="1">
        <v>8.2640000000000005E-2</v>
      </c>
      <c r="L102" s="1">
        <v>15.842000000000001</v>
      </c>
      <c r="M102" s="1">
        <v>21.64</v>
      </c>
      <c r="N102" s="1">
        <v>0.44619999999999999</v>
      </c>
      <c r="O102" s="1"/>
      <c r="P102" s="1"/>
      <c r="Q102" s="12"/>
      <c r="R102" s="9">
        <v>1.8897175045633701</v>
      </c>
      <c r="S102" s="9">
        <v>3.1297231214702903E-2</v>
      </c>
      <c r="T102" s="9">
        <v>0.169095913283656</v>
      </c>
      <c r="U102" s="9">
        <v>3.1230906805370599E-2</v>
      </c>
      <c r="V102" s="9">
        <v>0.13801294970351</v>
      </c>
      <c r="W102" s="9">
        <v>0.85032186812215704</v>
      </c>
      <c r="X102" s="9">
        <v>0.86624164637571599</v>
      </c>
      <c r="Y102" s="9">
        <v>2.5684917199415001E-3</v>
      </c>
      <c r="Z102" s="9"/>
      <c r="AA102" s="9"/>
      <c r="AB102" s="9">
        <v>3.1727955402324703E-2</v>
      </c>
      <c r="AC102" s="16"/>
      <c r="AD102" s="11">
        <f t="shared" si="0"/>
        <v>96.457284499168182</v>
      </c>
      <c r="AE102" s="30">
        <v>0.11029541556161004</v>
      </c>
      <c r="AF102" s="30">
        <v>0.11029541556161004</v>
      </c>
      <c r="AG102" s="30">
        <v>141</v>
      </c>
      <c r="AH102" s="30">
        <v>221.45066833496091</v>
      </c>
      <c r="AI102" s="30">
        <v>1.6876813676439066</v>
      </c>
      <c r="AJ102" s="5">
        <v>-1</v>
      </c>
      <c r="AK102" s="13" t="s">
        <v>98</v>
      </c>
    </row>
    <row r="103" spans="1:37">
      <c r="B103" s="14"/>
      <c r="C103" s="14"/>
      <c r="D103" s="14"/>
      <c r="E103" s="14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4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16"/>
      <c r="AD103" s="31"/>
      <c r="AF103" s="30"/>
      <c r="AG103" s="30"/>
      <c r="AH103" s="30"/>
      <c r="AI103" s="30"/>
      <c r="AK103" s="3"/>
    </row>
    <row r="104" spans="1:37">
      <c r="E104" s="14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4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16"/>
      <c r="AF104" s="30"/>
      <c r="AG104" s="30"/>
      <c r="AH104" s="30"/>
      <c r="AI104" s="30"/>
      <c r="AK104" s="3"/>
    </row>
    <row r="105" spans="1:37">
      <c r="A105" s="7"/>
      <c r="B105" s="8"/>
      <c r="P105" s="7"/>
      <c r="Q105" s="8"/>
      <c r="R105" s="8"/>
      <c r="S105" s="7"/>
      <c r="T105" s="7"/>
      <c r="AC105" s="16"/>
    </row>
    <row r="106" spans="1:37">
      <c r="A106" s="7"/>
      <c r="B106" s="8"/>
      <c r="P106" s="7"/>
      <c r="Q106" s="8"/>
      <c r="R106" s="8"/>
      <c r="S106" s="7"/>
      <c r="T106" s="7"/>
      <c r="AC106" s="16"/>
    </row>
    <row r="107" spans="1:37">
      <c r="A107" s="7" t="s">
        <v>55</v>
      </c>
      <c r="B107" s="8"/>
      <c r="P107" s="7"/>
      <c r="Q107" s="8"/>
      <c r="R107" s="8"/>
      <c r="S107" s="7"/>
      <c r="T107" s="7"/>
      <c r="AC107" s="16"/>
    </row>
    <row r="108" spans="1:37">
      <c r="A108" s="7"/>
      <c r="B108" s="7" t="s">
        <v>120</v>
      </c>
      <c r="P108" s="7"/>
      <c r="Q108" s="7"/>
      <c r="R108" s="7"/>
      <c r="S108" s="7"/>
      <c r="T108" s="7"/>
      <c r="AC108" s="16"/>
    </row>
    <row r="109" spans="1:37">
      <c r="A109" s="7"/>
      <c r="B109" s="7" t="s">
        <v>121</v>
      </c>
      <c r="P109" s="7"/>
      <c r="Q109" s="7"/>
      <c r="R109" s="7"/>
      <c r="S109" s="7"/>
      <c r="T109" s="7"/>
    </row>
    <row r="110" spans="1:37">
      <c r="A110" s="7"/>
      <c r="B110" s="7" t="s">
        <v>122</v>
      </c>
      <c r="P110" s="7"/>
      <c r="Q110" s="7"/>
      <c r="R110" s="7"/>
      <c r="S110" s="7"/>
      <c r="T110" s="7"/>
    </row>
    <row r="111" spans="1:37">
      <c r="A111" s="7"/>
      <c r="B111" s="7" t="s">
        <v>123</v>
      </c>
      <c r="P111" s="7"/>
      <c r="Q111" s="7"/>
      <c r="R111" s="7"/>
      <c r="S111" s="7"/>
      <c r="T111" s="7"/>
    </row>
    <row r="112" spans="1:37">
      <c r="A112" s="7"/>
      <c r="B112" s="7" t="s">
        <v>126</v>
      </c>
      <c r="P112" s="7"/>
      <c r="Q112" s="7"/>
      <c r="R112" s="7"/>
      <c r="S112" s="7"/>
      <c r="T112" s="7"/>
    </row>
    <row r="113" spans="1:20">
      <c r="A113" s="7"/>
      <c r="B113" s="7" t="s">
        <v>124</v>
      </c>
      <c r="P113" s="7"/>
      <c r="Q113" s="7"/>
      <c r="R113" s="7"/>
      <c r="S113" s="7"/>
      <c r="T113" s="7"/>
    </row>
    <row r="114" spans="1:20">
      <c r="B114" s="7" t="s">
        <v>127</v>
      </c>
      <c r="Q114" s="7"/>
    </row>
  </sheetData>
  <autoFilter ref="A2:AK102" xr:uid="{63D08F4F-AA1E-4E4A-A6F9-60B30D8CF19A}"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Application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</dc:creator>
  <cp:lastModifiedBy>Deng QianJie</cp:lastModifiedBy>
  <dcterms:created xsi:type="dcterms:W3CDTF">2023-05-12T11:15:00Z</dcterms:created>
  <dcterms:modified xsi:type="dcterms:W3CDTF">2026-05-21T12:52:45Z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2AF661C9EB0046A4B5A1B6507FA766A2_13</vt:lpwstr>
  </property>
</Properties>
</file>